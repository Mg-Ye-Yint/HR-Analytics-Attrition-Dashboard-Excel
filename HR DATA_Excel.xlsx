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ata Analytics\Projects\HR_Data\"/>
    </mc:Choice>
  </mc:AlternateContent>
  <xr:revisionPtr revIDLastSave="0" documentId="13_ncr:1_{FD94C0B2-C88D-44CC-866C-F8B874E9B82F}" xr6:coauthVersionLast="47" xr6:coauthVersionMax="47" xr10:uidLastSave="{00000000-0000-0000-0000-000000000000}"/>
  <bookViews>
    <workbookView xWindow="-108" yWindow="-108" windowWidth="23256" windowHeight="12456" firstSheet="3" activeTab="9" xr2:uid="{00000000-000D-0000-FFFF-FFFF00000000}"/>
  </bookViews>
  <sheets>
    <sheet name="KPI" sheetId="7" r:id="rId1"/>
    <sheet name="Satisfaction" sheetId="8" r:id="rId2"/>
    <sheet name="Gender" sheetId="9" r:id="rId3"/>
    <sheet name="Education" sheetId="10" r:id="rId4"/>
    <sheet name="Attrition by Job" sheetId="11" r:id="rId5"/>
    <sheet name="Dept Wise Attrition" sheetId="12" r:id="rId6"/>
    <sheet name="Age" sheetId="13" r:id="rId7"/>
    <sheet name="Sheet8" sheetId="14" r:id="rId8"/>
    <sheet name="Data" sheetId="1" r:id="rId9"/>
    <sheet name="Dashboard" sheetId="5" r:id="rId10"/>
  </sheets>
  <definedNames>
    <definedName name="_xlchart.v1.0" hidden="1">'Attrition by Job'!$D$4:$D$12</definedName>
    <definedName name="_xlchart.v1.1" hidden="1">'Attrition by Job'!$E$4:$E$12</definedName>
    <definedName name="_xlchart.v1.6" hidden="1">'Attrition by Job'!$D$4:$D$12</definedName>
    <definedName name="_xlchart.v1.7" hidden="1">'Attrition by Job'!$E$4:$E$12</definedName>
    <definedName name="_xlchart.v2.2" hidden="1">Sheet8!$D$4:$D$6</definedName>
    <definedName name="_xlchart.v2.3" hidden="1">Sheet8!$E$4:$E$6</definedName>
    <definedName name="_xlchart.v2.4" hidden="1">Sheet8!$D$4:$D$6</definedName>
    <definedName name="_xlchart.v2.5" hidden="1">Sheet8!$E$4:$E$6</definedName>
    <definedName name="_xlchart.v2.8" hidden="1">Sheet8!$D$4:$D$6</definedName>
    <definedName name="_xlchart.v2.9" hidden="1">Sheet8!$E$4:$E$6</definedName>
    <definedName name="Slicer_Department1">#N/A</definedName>
    <definedName name="Slicer_Education_Field2">#N/A</definedName>
    <definedName name="Slicer_Gender">#N/A</definedName>
    <definedName name="Slicer_Gender1">#N/A</definedName>
  </definedNames>
  <calcPr calcId="191029"/>
  <pivotCaches>
    <pivotCache cacheId="29"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E6" i="14" l="1"/>
  <c r="E5" i="14"/>
  <c r="E4" i="14"/>
  <c r="E6" i="11"/>
  <c r="E7" i="11"/>
  <c r="E8" i="11"/>
  <c r="E5" i="11"/>
  <c r="E9" i="11"/>
  <c r="E10" i="11"/>
  <c r="E11" i="11"/>
  <c r="E12" i="11"/>
  <c r="E4" i="11"/>
  <c r="B10" i="9"/>
  <c r="B9" i="9"/>
  <c r="B9" i="8"/>
  <c r="B8" i="8"/>
  <c r="C11" i="7"/>
  <c r="B11" i="7"/>
  <c r="A11" i="7"/>
  <c r="E11" i="7" l="1"/>
  <c r="C8" i="8"/>
  <c r="C9" i="8"/>
  <c r="C9" i="9"/>
  <c r="C10" i="9"/>
  <c r="D11" i="7"/>
</calcChain>
</file>

<file path=xl/sharedStrings.xml><?xml version="1.0" encoding="utf-8"?>
<sst xmlns="http://schemas.openxmlformats.org/spreadsheetml/2006/main" count="19224" uniqueCount="1564">
  <si>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</si>
  <si>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</si>
  <si>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</si>
  <si>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</si>
  <si>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</si>
  <si>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</si>
  <si>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</si>
  <si>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</si>
  <si>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</si>
  <si>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</si>
  <si>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</si>
  <si>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</si>
  <si>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</si>
  <si>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</si>
  <si>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</si>
  <si>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</si>
  <si>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</si>
  <si>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</si>
  <si>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</si>
  <si>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</si>
  <si>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</si>
  <si>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</si>
  <si>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</si>
  <si>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</si>
  <si>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</si>
  <si>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</si>
  <si>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</si>
  <si>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</si>
  <si>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</si>
  <si>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</si>
  <si>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</si>
  <si>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</si>
  <si>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</si>
  <si>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</si>
  <si>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</si>
  <si>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</si>
  <si>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</si>
  <si>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</si>
  <si>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</si>
  <si>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</si>
  <si>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</si>
  <si>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</si>
  <si>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</si>
  <si>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</si>
  <si>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</si>
  <si>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</si>
  <si>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</si>
  <si>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</si>
  <si>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</si>
  <si>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</si>
  <si>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</si>
  <si>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</si>
  <si>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</si>
  <si>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</si>
  <si>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</si>
  <si>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</si>
  <si>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</si>
  <si>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</si>
  <si>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</si>
  <si>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</si>
  <si>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</si>
  <si>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</si>
  <si>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</si>
  <si>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</si>
  <si>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</si>
  <si>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</si>
  <si>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</si>
  <si>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</si>
  <si>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</si>
  <si>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</si>
  <si>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</si>
  <si>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</si>
  <si>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</si>
  <si>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</si>
  <si>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</si>
  <si>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</si>
  <si>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</si>
  <si>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</si>
  <si>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</si>
  <si>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</si>
  <si>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</si>
  <si>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</si>
  <si>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</si>
  <si>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</si>
  <si>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</si>
  <si>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</si>
  <si>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</si>
  <si>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</si>
  <si>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</si>
  <si>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</si>
  <si>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</si>
  <si>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</si>
  <si>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</si>
  <si>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</si>
  <si>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</si>
  <si>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</si>
  <si>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</si>
  <si>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</si>
  <si>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</si>
  <si>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</si>
  <si>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</si>
  <si>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</si>
  <si>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</si>
  <si>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</si>
  <si>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</si>
  <si>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</si>
  <si>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</si>
  <si>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</si>
  <si>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</si>
  <si>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</si>
  <si>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</si>
  <si>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</si>
  <si>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</si>
  <si>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</si>
  <si>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</si>
  <si>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</si>
  <si>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</si>
  <si>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</si>
  <si>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</si>
  <si>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</si>
  <si>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</si>
  <si>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</si>
  <si>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</si>
  <si>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</si>
  <si>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</si>
  <si>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</si>
  <si>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</si>
  <si>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</si>
  <si>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</si>
  <si>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</si>
  <si>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</si>
  <si>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</si>
  <si>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</si>
  <si>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</si>
  <si>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</si>
  <si>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</si>
  <si>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</si>
  <si>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</si>
  <si>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</si>
  <si>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</si>
  <si>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</si>
  <si>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</si>
  <si>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</si>
  <si>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</si>
  <si>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</si>
  <si>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</si>
  <si>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</si>
  <si>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</si>
  <si>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</si>
  <si>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</si>
  <si>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</si>
  <si>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</si>
  <si>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</si>
  <si>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</si>
  <si>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</si>
  <si>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</si>
  <si>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</si>
  <si>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</si>
  <si>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</si>
  <si>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</si>
  <si>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</si>
  <si>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</si>
  <si>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</si>
  <si>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</si>
  <si>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</si>
  <si>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</si>
  <si>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</si>
  <si>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</si>
  <si>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</si>
  <si>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</si>
  <si>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</si>
  <si>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</si>
  <si>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</si>
  <si>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</si>
  <si>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</si>
  <si>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</si>
  <si>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</si>
  <si>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</si>
  <si>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</si>
  <si>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</si>
  <si>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</si>
  <si>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</si>
  <si>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</si>
  <si>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</si>
  <si>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</si>
  <si>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</si>
  <si>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</si>
  <si>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</si>
  <si>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</si>
  <si>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</si>
  <si>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</si>
  <si>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</si>
  <si>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</si>
  <si>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</si>
  <si>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</si>
  <si>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</si>
  <si>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</si>
  <si>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</si>
  <si>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</si>
  <si>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</si>
  <si>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</si>
  <si>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</si>
  <si>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</si>
  <si>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</si>
  <si>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</si>
  <si>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</si>
  <si>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</si>
  <si>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</si>
  <si>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</si>
  <si>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</si>
  <si>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</si>
  <si>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</si>
  <si>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</si>
  <si>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</si>
  <si>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</si>
  <si>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</si>
  <si>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</si>
  <si>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</si>
  <si>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</si>
  <si>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</si>
  <si>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</si>
  <si>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</si>
  <si>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</si>
  <si>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</si>
  <si>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</si>
  <si>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</si>
  <si>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</si>
  <si>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</si>
  <si>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</si>
  <si>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</si>
  <si>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</si>
  <si>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</si>
  <si>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</si>
  <si>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</si>
  <si>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</si>
  <si>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</si>
  <si>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</si>
  <si>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</si>
  <si>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</si>
  <si>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</si>
  <si>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</si>
  <si>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</si>
  <si>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</si>
  <si>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</si>
  <si>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</si>
  <si>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</si>
  <si>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</si>
  <si>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</si>
  <si>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</si>
  <si>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</si>
  <si>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</si>
  <si>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</si>
  <si>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</si>
  <si>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</si>
  <si>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</si>
  <si>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</si>
  <si>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</si>
  <si>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</si>
  <si>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</si>
  <si>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</si>
  <si>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</si>
  <si>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</si>
  <si>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</si>
  <si>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</si>
  <si>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</si>
  <si>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</si>
  <si>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</si>
  <si>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</si>
  <si>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</si>
  <si>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</si>
  <si>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</si>
  <si>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</si>
  <si>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</si>
  <si>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</si>
  <si>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</si>
  <si>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</si>
  <si>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</si>
  <si>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</si>
  <si>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</si>
  <si>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</si>
  <si>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</si>
  <si>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</si>
  <si>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</si>
  <si>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</si>
  <si>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</si>
  <si>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</si>
  <si>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</si>
  <si>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</si>
  <si>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</si>
  <si>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</si>
  <si>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</si>
  <si>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</si>
  <si>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</si>
  <si>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</si>
  <si>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</si>
  <si>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</si>
  <si>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</si>
  <si>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</si>
  <si>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</si>
  <si>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</si>
  <si>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</si>
  <si>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</si>
  <si>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</si>
  <si>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</si>
  <si>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</si>
  <si>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</si>
  <si>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</si>
  <si>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</si>
  <si>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</si>
  <si>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</si>
  <si>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</si>
  <si>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</si>
  <si>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</si>
  <si>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</si>
  <si>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</si>
  <si>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</si>
  <si>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</si>
  <si>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</si>
  <si>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</si>
  <si>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</si>
  <si>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</si>
  <si>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</si>
  <si>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</si>
  <si>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</si>
  <si>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</si>
  <si>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</si>
  <si>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</si>
  <si>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</si>
  <si>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</si>
  <si>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</si>
  <si>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</si>
  <si>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</si>
  <si>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</si>
  <si>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</si>
  <si>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</si>
  <si>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</si>
  <si>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</si>
  <si>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</si>
  <si>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</si>
  <si>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</si>
  <si>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</si>
  <si>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</si>
  <si>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</si>
  <si>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</si>
  <si>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</si>
  <si>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</si>
  <si>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</si>
  <si>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</si>
  <si>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</si>
  <si>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</si>
  <si>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</si>
  <si>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</si>
  <si>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</si>
  <si>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</si>
  <si>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</si>
  <si>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</si>
  <si>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</si>
  <si>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</si>
  <si>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</si>
  <si>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</si>
  <si>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</si>
  <si>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</si>
  <si>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</si>
  <si>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</si>
  <si>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</si>
  <si>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</si>
  <si>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</si>
  <si>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</si>
  <si>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</si>
  <si>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</si>
  <si>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</si>
  <si>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</si>
  <si>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</si>
  <si>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</si>
  <si>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</si>
  <si>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</si>
  <si>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</si>
  <si>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</si>
  <si>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</si>
  <si>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</si>
  <si>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</si>
  <si>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</si>
  <si>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</si>
  <si>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</si>
  <si>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</si>
  <si>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</si>
  <si>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</si>
  <si>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</si>
  <si>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</si>
  <si>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</si>
  <si>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</si>
  <si>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</si>
  <si>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</si>
  <si>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</si>
  <si>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</si>
  <si>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</si>
  <si>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</si>
  <si>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</si>
  <si>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</si>
  <si>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</si>
  <si>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</si>
  <si>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</si>
  <si>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</si>
  <si>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</si>
  <si>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</si>
  <si>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</si>
  <si>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</si>
  <si>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</si>
  <si>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</si>
  <si>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</si>
  <si>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</si>
  <si>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</si>
  <si>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</si>
  <si>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</si>
  <si>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</si>
  <si>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</si>
  <si>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</si>
  <si>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</si>
  <si>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</si>
  <si>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</si>
  <si>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</si>
  <si>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</si>
  <si>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</si>
  <si>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</si>
  <si>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</si>
  <si>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</si>
  <si>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</si>
  <si>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</si>
  <si>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</si>
  <si>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</si>
  <si>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</si>
  <si>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</si>
  <si>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</si>
  <si>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</si>
  <si>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</si>
  <si>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</si>
  <si>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</si>
  <si>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</si>
  <si>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</si>
  <si>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</si>
  <si>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</si>
  <si>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</si>
  <si>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</si>
  <si>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</si>
  <si>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</si>
  <si>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</si>
  <si>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</si>
  <si>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</si>
  <si>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</si>
  <si>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</si>
  <si>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</si>
  <si>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</si>
  <si>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</si>
  <si>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</si>
  <si>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</si>
  <si>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</si>
  <si>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</si>
  <si>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</si>
  <si>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</si>
  <si>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</si>
  <si>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</si>
  <si>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</si>
  <si>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</si>
  <si>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</si>
  <si>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</si>
  <si>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</si>
  <si>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</si>
  <si>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</si>
  <si>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</si>
  <si>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</si>
  <si>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</si>
  <si>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</si>
  <si>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</si>
  <si>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</si>
  <si>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</si>
  <si>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</si>
  <si>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</si>
  <si>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</si>
  <si>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</si>
  <si>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</si>
  <si>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</si>
  <si>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</si>
  <si>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</si>
  <si>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</si>
  <si>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</si>
  <si>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</si>
  <si>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</si>
  <si>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</si>
  <si>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</si>
  <si>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</si>
  <si>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</si>
  <si>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</si>
  <si>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</si>
  <si>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</si>
  <si>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</si>
  <si>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</si>
  <si>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</si>
  <si>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</si>
  <si>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</si>
  <si>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</si>
  <si>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</si>
  <si>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</si>
  <si>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</si>
  <si>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</si>
  <si>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</si>
  <si>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</si>
  <si>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</si>
  <si>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</si>
  <si>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</si>
  <si>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</si>
  <si>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</si>
  <si>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</si>
  <si>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</si>
  <si>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</si>
  <si>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</si>
  <si>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</si>
  <si>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</si>
  <si>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</si>
  <si>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</si>
  <si>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</si>
  <si>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</si>
  <si>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</si>
  <si>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</si>
  <si>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</si>
  <si>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</si>
  <si>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</si>
  <si>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</si>
  <si>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</si>
  <si>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</si>
  <si>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</si>
  <si>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</si>
  <si>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</si>
  <si>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</si>
  <si>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</si>
  <si>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</si>
  <si>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</si>
  <si>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</si>
  <si>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</si>
  <si>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</si>
  <si>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</si>
  <si>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</si>
  <si>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</si>
  <si>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</si>
  <si>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</si>
  <si>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</si>
  <si>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</si>
  <si>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</si>
  <si>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</si>
  <si>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</si>
  <si>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</si>
  <si>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</si>
  <si>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</si>
  <si>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</si>
  <si>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</si>
  <si>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</si>
  <si>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</si>
  <si>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</si>
  <si>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</si>
  <si>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</si>
  <si>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</si>
  <si>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</si>
  <si>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</si>
  <si>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</si>
  <si>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</si>
  <si>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</si>
  <si>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</si>
  <si>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</si>
  <si>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</si>
  <si>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</si>
  <si>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</si>
  <si>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</si>
  <si>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</si>
  <si>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</si>
  <si>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</si>
  <si>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</si>
  <si>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</si>
  <si>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</si>
  <si>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</si>
  <si>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</si>
  <si>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</si>
  <si>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</si>
  <si>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</si>
  <si>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</si>
  <si>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</si>
  <si>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</si>
  <si>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</si>
  <si>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</si>
  <si>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</si>
  <si>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</si>
  <si>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</si>
  <si>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</si>
  <si>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</si>
  <si>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</si>
  <si>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</si>
  <si>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</si>
  <si>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</si>
  <si>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</si>
  <si>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</si>
  <si>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</si>
  <si>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</si>
  <si>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</si>
  <si>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</si>
  <si>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</si>
  <si>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</si>
  <si>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</si>
  <si>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</si>
  <si>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</si>
  <si>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</si>
  <si>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</si>
  <si>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</si>
  <si>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</si>
  <si>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</si>
  <si>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</si>
  <si>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</si>
  <si>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</si>
  <si>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</si>
  <si>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</si>
  <si>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</si>
  <si>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</si>
  <si>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</si>
  <si>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</si>
  <si>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</si>
  <si>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</si>
  <si>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</si>
  <si>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</si>
  <si>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</si>
  <si>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</si>
  <si>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</si>
  <si>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</si>
  <si>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</si>
  <si>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</si>
  <si>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</si>
  <si>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</si>
  <si>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</si>
  <si>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</si>
  <si>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</si>
  <si>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</si>
  <si>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</si>
  <si>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</si>
  <si>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</si>
  <si>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</si>
  <si>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</si>
  <si>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</si>
  <si>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</si>
  <si>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</si>
  <si>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</si>
  <si>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</si>
  <si>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</si>
  <si>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</si>
  <si>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</si>
  <si>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</si>
  <si>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</si>
  <si>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</si>
  <si>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</si>
  <si>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</si>
  <si>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</si>
  <si>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</si>
  <si>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</si>
  <si>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</si>
  <si>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</si>
  <si>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</si>
  <si>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</si>
  <si>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</si>
  <si>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</si>
  <si>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</si>
  <si>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</si>
  <si>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</si>
  <si>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</si>
  <si>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</si>
  <si>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</si>
  <si>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</si>
  <si>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</si>
  <si>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</si>
  <si>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</si>
  <si>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</si>
  <si>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</si>
  <si>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</si>
  <si>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</si>
  <si>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</si>
  <si>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</si>
  <si>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</si>
  <si>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</si>
  <si>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</si>
  <si>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</si>
  <si>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</si>
  <si>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</si>
  <si>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</si>
  <si>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</si>
  <si>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</si>
  <si>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</si>
  <si>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</si>
  <si>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</si>
  <si>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</si>
  <si>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</si>
  <si>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</si>
  <si>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</si>
  <si>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</si>
  <si>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</si>
  <si>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</si>
  <si>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</si>
  <si>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</si>
  <si>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</si>
  <si>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</si>
  <si>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</si>
  <si>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</si>
  <si>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</si>
  <si>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</si>
  <si>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</si>
  <si>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</si>
  <si>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</si>
  <si>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</si>
  <si>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</si>
  <si>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</si>
  <si>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</si>
  <si>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</si>
  <si>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</si>
  <si>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</si>
  <si>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</si>
  <si>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</si>
  <si>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</si>
  <si>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</si>
  <si>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</si>
  <si>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</si>
  <si>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</si>
  <si>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</si>
  <si>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</si>
  <si>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</si>
  <si>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</si>
  <si>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</si>
  <si>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</si>
  <si>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</si>
  <si>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</si>
  <si>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</si>
  <si>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</si>
  <si>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</si>
  <si>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</si>
  <si>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</si>
  <si>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</si>
  <si>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</si>
  <si>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</si>
  <si>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</si>
  <si>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</si>
  <si>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</si>
  <si>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</si>
  <si>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</si>
  <si>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</si>
  <si>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</si>
  <si>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</si>
  <si>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</si>
  <si>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</si>
  <si>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</si>
  <si>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</si>
  <si>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</si>
  <si>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</si>
  <si>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</si>
  <si>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</si>
  <si>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</si>
  <si>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</si>
  <si>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</si>
  <si>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</si>
  <si>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</si>
  <si>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</si>
  <si>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</si>
  <si>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</si>
  <si>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</si>
  <si>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</si>
  <si>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</si>
  <si>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</si>
  <si>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</si>
  <si>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</si>
  <si>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</si>
  <si>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</si>
  <si>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</si>
  <si>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</si>
  <si>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</si>
  <si>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</si>
  <si>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</si>
  <si>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</si>
  <si>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</si>
  <si>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</si>
  <si>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</si>
  <si>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</si>
  <si>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</si>
  <si>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</si>
  <si>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</si>
  <si>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</si>
  <si>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</si>
  <si>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</si>
  <si>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</si>
  <si>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</si>
  <si>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</si>
  <si>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</si>
  <si>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</si>
  <si>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</si>
  <si>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</si>
  <si>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</si>
  <si>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</si>
  <si>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</si>
  <si>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</si>
  <si>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</si>
  <si>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</si>
  <si>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</si>
  <si>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</si>
  <si>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</si>
  <si>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</si>
  <si>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</si>
  <si>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</si>
  <si>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</si>
  <si>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</si>
  <si>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</si>
  <si>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</si>
  <si>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</si>
  <si>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</si>
  <si>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</si>
  <si>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</si>
  <si>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</si>
  <si>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</si>
  <si>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</si>
  <si>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</si>
  <si>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</si>
  <si>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</si>
  <si>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</si>
  <si>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</si>
  <si>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</si>
  <si>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</si>
  <si>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</si>
  <si>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</si>
  <si>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</si>
  <si>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</si>
  <si>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</si>
  <si>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</si>
  <si>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</si>
  <si>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</si>
  <si>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</si>
  <si>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</si>
  <si>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</si>
  <si>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</si>
  <si>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</si>
  <si>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</si>
  <si>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</si>
  <si>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</si>
  <si>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</si>
  <si>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</si>
  <si>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</si>
  <si>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</si>
  <si>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</si>
  <si>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</si>
  <si>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</si>
  <si>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</si>
  <si>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</si>
  <si>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</si>
  <si>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</si>
  <si>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</si>
  <si>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</si>
  <si>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</si>
  <si>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</si>
  <si>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</si>
  <si>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</si>
  <si>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</si>
  <si>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</si>
  <si>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</si>
  <si>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</si>
  <si>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</si>
  <si>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</si>
  <si>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</si>
  <si>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</si>
  <si>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</si>
  <si>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</si>
  <si>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</si>
  <si>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</si>
  <si>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</si>
  <si>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</si>
  <si>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</si>
  <si>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</si>
  <si>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</si>
  <si>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</si>
  <si>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</si>
  <si>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</si>
  <si>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</si>
  <si>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</si>
  <si>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</si>
  <si>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</si>
  <si>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</si>
  <si>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</si>
  <si>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</si>
  <si>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</si>
  <si>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</si>
  <si>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</si>
  <si>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</si>
  <si>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</si>
  <si>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</si>
  <si>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</si>
  <si>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</si>
  <si>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</si>
  <si>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</si>
  <si>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</si>
  <si>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</si>
  <si>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</si>
  <si>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</si>
  <si>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</si>
  <si>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</si>
  <si>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</si>
  <si>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</si>
  <si>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</si>
  <si>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</si>
  <si>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</si>
  <si>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</si>
  <si>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</si>
  <si>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</si>
  <si>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</si>
  <si>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</si>
  <si>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</si>
  <si>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</si>
  <si>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</si>
  <si>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</si>
  <si>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</si>
  <si>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</si>
  <si>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</si>
  <si>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</si>
  <si>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</si>
  <si>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</si>
  <si>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</si>
  <si>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</si>
  <si>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</si>
  <si>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</si>
  <si>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</si>
  <si>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</si>
  <si>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</si>
  <si>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</si>
  <si>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</si>
  <si>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</si>
  <si>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</si>
  <si>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</si>
  <si>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</si>
  <si>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</si>
  <si>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</si>
  <si>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</si>
  <si>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</si>
  <si>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</si>
  <si>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</si>
  <si>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</si>
  <si>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</si>
  <si>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</si>
  <si>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</si>
  <si>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</si>
  <si>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</si>
  <si>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</si>
  <si>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</si>
  <si>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</si>
  <si>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</si>
  <si>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</si>
  <si>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</si>
  <si>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</si>
  <si>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</si>
  <si>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</si>
  <si>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</si>
  <si>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</si>
  <si>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</si>
  <si>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</si>
  <si>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</si>
  <si>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</si>
  <si>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</si>
  <si>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</si>
  <si>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</si>
  <si>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</si>
  <si>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</si>
  <si>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</si>
  <si>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</si>
  <si>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</si>
  <si>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</si>
  <si>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</si>
  <si>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</si>
  <si>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</si>
  <si>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</si>
  <si>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</si>
  <si>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</si>
  <si>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</si>
  <si>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</si>
  <si>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</si>
  <si>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</si>
  <si>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</si>
  <si>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</si>
  <si>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</si>
  <si>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</si>
  <si>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</si>
  <si>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</si>
  <si>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</si>
  <si>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</si>
  <si>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</si>
  <si>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</si>
  <si>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</si>
  <si>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</si>
  <si>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</si>
  <si>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</si>
  <si>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</si>
  <si>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</si>
  <si>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</si>
  <si>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</si>
  <si>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</si>
  <si>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</si>
  <si>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</si>
  <si>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</si>
  <si>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</si>
  <si>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</si>
  <si>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</si>
  <si>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</si>
  <si>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</si>
  <si>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</si>
  <si>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</si>
  <si>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</si>
  <si>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</si>
  <si>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</si>
  <si>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</si>
  <si>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</si>
  <si>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</si>
  <si>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</si>
  <si>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</si>
  <si>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</si>
  <si>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</si>
  <si>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</si>
  <si>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</si>
  <si>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</si>
  <si>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</si>
  <si>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</si>
  <si>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</si>
  <si>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</si>
  <si>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</si>
  <si>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</si>
  <si>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</si>
  <si>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</si>
  <si>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</si>
  <si>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</si>
  <si>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</si>
  <si>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</si>
  <si>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</si>
  <si>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</si>
  <si>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</si>
  <si>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</si>
  <si>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</si>
  <si>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</si>
  <si>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</si>
  <si>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</si>
  <si>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</si>
  <si>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</si>
  <si>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</si>
  <si>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</si>
  <si>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</si>
  <si>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</si>
  <si>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</si>
  <si>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</si>
  <si>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</si>
  <si>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</si>
  <si>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</si>
  <si>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</si>
  <si>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</si>
  <si>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</si>
  <si>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</si>
  <si>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</si>
  <si>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</si>
  <si>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</si>
  <si>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</si>
  <si>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</si>
  <si>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</si>
  <si>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</si>
  <si>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</si>
  <si>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</si>
  <si>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</si>
  <si>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</si>
  <si>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</si>
  <si>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</si>
  <si>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</si>
  <si>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</si>
  <si>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</si>
  <si>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</si>
  <si>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</si>
  <si>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</si>
  <si>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</si>
  <si>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</si>
  <si>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</si>
  <si>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</si>
  <si>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</si>
  <si>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</si>
  <si>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</si>
  <si>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</si>
  <si>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</si>
  <si>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</si>
  <si>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</si>
  <si>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</si>
  <si>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</si>
  <si>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</si>
  <si>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</si>
  <si>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</si>
  <si>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</si>
  <si>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</si>
  <si>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</si>
  <si>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</si>
  <si>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</si>
  <si>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</si>
  <si>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</si>
  <si>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</si>
  <si>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</si>
  <si>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</si>
  <si>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</si>
  <si>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</si>
  <si>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</si>
  <si>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</si>
  <si>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</si>
  <si>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</si>
  <si>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</si>
  <si>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</si>
  <si>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</si>
  <si>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</si>
  <si>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</si>
  <si>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</si>
  <si>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</si>
  <si>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</si>
  <si>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</si>
  <si>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</si>
  <si>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</si>
  <si>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</si>
  <si>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</si>
  <si>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</si>
  <si>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</si>
  <si>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</si>
  <si>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</si>
  <si>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</si>
  <si>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</si>
  <si>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</si>
  <si>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</si>
  <si>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</si>
  <si>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</si>
  <si>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</si>
  <si>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</si>
  <si>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</si>
  <si>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</si>
  <si>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</si>
  <si>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</si>
  <si>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</si>
  <si>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</si>
  <si>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</si>
  <si>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</si>
  <si>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</si>
  <si>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</si>
  <si>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</si>
  <si>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</si>
  <si>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</si>
  <si>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</si>
  <si>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</si>
  <si>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</si>
  <si>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</si>
  <si>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</si>
  <si>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</si>
  <si>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</si>
  <si>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</si>
  <si>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</si>
  <si>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</si>
  <si>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</si>
  <si>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</si>
  <si>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</si>
  <si>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</si>
  <si>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</si>
  <si>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</si>
  <si>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</si>
  <si>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</si>
  <si>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</si>
  <si>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</si>
  <si>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</si>
  <si>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</si>
  <si>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</si>
  <si>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</si>
  <si>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</si>
  <si>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</si>
  <si>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</si>
  <si>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</si>
  <si>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</si>
  <si>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</si>
  <si>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</si>
  <si>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</si>
  <si>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</si>
  <si>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</si>
  <si>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</si>
  <si>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</si>
  <si>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</si>
  <si>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</si>
  <si>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</si>
  <si>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</si>
  <si>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</si>
  <si>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</si>
  <si>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</si>
  <si>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</si>
  <si>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</si>
  <si>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</si>
  <si>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</si>
  <si>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</si>
  <si>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</si>
  <si>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</si>
  <si>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</si>
  <si>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</si>
  <si>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</si>
  <si>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</si>
  <si>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</si>
  <si>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</si>
  <si>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</si>
  <si>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</si>
  <si>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</si>
  <si>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</si>
  <si>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</si>
  <si>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</si>
  <si>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</si>
  <si>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</si>
  <si>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</si>
  <si>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</si>
  <si>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</si>
  <si>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</si>
  <si>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</si>
  <si>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</si>
  <si>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</si>
  <si>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</si>
  <si>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</si>
  <si>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</si>
  <si>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</si>
  <si>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</si>
  <si>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</si>
  <si>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</si>
  <si>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</si>
  <si>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</si>
  <si>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</si>
  <si>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</si>
  <si>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</si>
  <si>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</si>
  <si>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</si>
  <si>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</si>
  <si>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</si>
  <si>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</si>
  <si>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</si>
  <si>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</si>
  <si>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</si>
  <si>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</si>
  <si>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</si>
  <si>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</si>
  <si>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</si>
  <si>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</si>
  <si>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</si>
  <si>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</si>
  <si>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</si>
  <si>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</si>
  <si>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</si>
  <si>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</si>
  <si>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</si>
  <si>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</si>
  <si>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</si>
  <si>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</si>
  <si>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</si>
  <si>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</si>
  <si>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</si>
  <si>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</si>
  <si>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</si>
  <si>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</si>
  <si>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</si>
  <si>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</si>
  <si>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</si>
  <si>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</si>
  <si>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</si>
  <si>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</si>
  <si>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</si>
  <si>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</si>
  <si>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</si>
  <si>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</si>
  <si>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</si>
  <si>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</si>
  <si>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</si>
  <si>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</si>
  <si>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</si>
  <si>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</si>
  <si>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</si>
  <si>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</si>
  <si>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</si>
  <si>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</si>
  <si>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</si>
  <si>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</si>
  <si>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</si>
  <si>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</si>
  <si>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</si>
  <si>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</si>
  <si>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</si>
  <si>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</si>
  <si>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</si>
  <si>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</si>
  <si>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</si>
  <si>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</si>
  <si>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</si>
  <si>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</si>
  <si>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</si>
  <si>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</si>
  <si>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</si>
  <si>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</si>
  <si>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</si>
  <si>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</si>
  <si>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</si>
  <si>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</si>
  <si>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</si>
  <si>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</si>
  <si>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</si>
  <si>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</si>
  <si>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</si>
  <si>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</si>
  <si>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</si>
  <si>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</si>
  <si>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</si>
  <si>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</si>
  <si>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</si>
  <si>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</si>
  <si>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</si>
  <si>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</si>
  <si>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</si>
  <si>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</si>
  <si>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</si>
  <si>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</si>
  <si>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</si>
  <si>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</si>
  <si>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</si>
  <si>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</si>
  <si>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</si>
  <si>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</si>
  <si>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</si>
  <si>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</si>
  <si>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</si>
  <si>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</si>
  <si>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</si>
  <si>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</si>
  <si>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</si>
  <si>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</si>
  <si>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</si>
  <si>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</si>
  <si>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</si>
  <si>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</si>
  <si>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</si>
  <si>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</si>
  <si>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</si>
  <si>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</si>
  <si>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</si>
  <si>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</si>
  <si>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</si>
  <si>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</si>
  <si>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</si>
  <si>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</si>
  <si>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</si>
  <si>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</si>
  <si>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</si>
  <si>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</si>
  <si>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</si>
  <si>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</si>
  <si>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</si>
  <si>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</si>
  <si>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</si>
  <si>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</si>
  <si>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</si>
  <si>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</si>
  <si>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</si>
  <si>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</si>
  <si>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</si>
  <si>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</si>
  <si>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</si>
  <si>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</si>
  <si>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</si>
  <si>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</si>
  <si>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</si>
  <si>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</si>
  <si>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</si>
  <si>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</si>
  <si>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</si>
  <si>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</si>
  <si>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</si>
  <si>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</si>
  <si>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</si>
  <si>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</si>
  <si>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</si>
  <si>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</si>
  <si>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</si>
  <si>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</si>
  <si>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</si>
  <si>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</si>
  <si>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</si>
  <si>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</si>
  <si>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</si>
  <si>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</si>
  <si>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</si>
  <si>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</si>
  <si>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</si>
  <si>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</si>
  <si>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</si>
  <si>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</si>
  <si>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</si>
  <si>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</si>
  <si>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</si>
  <si>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</si>
  <si>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</si>
  <si>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</si>
  <si>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</si>
  <si>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</si>
  <si>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</si>
  <si>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</si>
  <si>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</si>
  <si>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</si>
  <si>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</si>
  <si>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</si>
  <si>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</si>
  <si>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</si>
  <si>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</si>
  <si>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</si>
  <si>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</si>
  <si>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</si>
  <si>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</si>
  <si>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</si>
  <si>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</si>
  <si>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</si>
  <si>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</si>
  <si>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</si>
  <si>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</si>
  <si>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</si>
  <si>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</si>
  <si>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</si>
  <si>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</si>
  <si>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</si>
  <si>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</si>
  <si>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</si>
  <si>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</si>
  <si>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</si>
  <si>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</si>
  <si>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</si>
  <si>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</si>
  <si>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</si>
  <si>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</si>
  <si>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</si>
  <si>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</si>
  <si>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</si>
  <si>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</si>
  <si>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</si>
  <si>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</si>
  <si>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</si>
  <si>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</si>
  <si>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</si>
  <si>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</si>
  <si>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</si>
  <si>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</si>
  <si>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</si>
  <si>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</si>
  <si>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</si>
  <si>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</si>
  <si>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</si>
  <si>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</si>
  <si>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</si>
  <si>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</si>
  <si>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</si>
  <si>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</si>
  <si>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</si>
  <si>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</si>
  <si>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</si>
  <si>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</si>
  <si>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</si>
  <si>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</si>
  <si>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</si>
  <si>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</si>
  <si>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</si>
  <si>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</si>
  <si>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</si>
  <si>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</si>
  <si>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</si>
  <si>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</si>
  <si>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</si>
  <si>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</si>
  <si>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</si>
  <si>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</si>
  <si>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</si>
  <si>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</si>
  <si>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</si>
  <si>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</si>
  <si>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</si>
  <si>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</si>
  <si>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</si>
  <si>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</si>
  <si>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</si>
  <si>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</si>
  <si>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</si>
  <si>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</si>
  <si>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</si>
  <si>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</si>
  <si>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</si>
  <si>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</si>
  <si>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</si>
  <si>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</si>
  <si>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</si>
  <si>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</si>
  <si>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</si>
  <si>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</si>
  <si>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</si>
  <si>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</si>
  <si>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</si>
  <si>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</si>
  <si>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</si>
  <si>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</si>
  <si>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</si>
  <si>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</si>
  <si>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</si>
  <si>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</si>
  <si>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</si>
  <si>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</si>
  <si>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</si>
  <si>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</si>
  <si>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</si>
  <si>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</si>
  <si>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</si>
  <si>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</si>
  <si>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</si>
  <si>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</si>
  <si>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</si>
  <si>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</si>
  <si>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</si>
  <si>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</si>
  <si>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</si>
  <si>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</si>
  <si>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</si>
  <si>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</si>
  <si>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</si>
  <si>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</si>
  <si>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</si>
  <si>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</si>
  <si>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</si>
  <si>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</si>
  <si>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</si>
  <si>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</si>
  <si>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</si>
  <si>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</si>
  <si>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</si>
  <si>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</si>
  <si>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</si>
  <si>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</si>
  <si>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</si>
  <si>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</si>
  <si>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</si>
  <si>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</si>
  <si>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</si>
  <si>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</si>
  <si>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</si>
  <si>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</si>
  <si>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</si>
  <si>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</si>
  <si>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</si>
  <si>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</si>
  <si>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</si>
  <si>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</si>
  <si>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</si>
  <si>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</si>
  <si>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</si>
  <si>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</si>
  <si>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</si>
  <si>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</si>
  <si>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Active Employess</t>
  </si>
  <si>
    <t>Attrition Rate</t>
  </si>
  <si>
    <t>Average of Job Satisfaction</t>
  </si>
  <si>
    <t>Rating</t>
  </si>
  <si>
    <t xml:space="preserve">Balance Rating </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</si>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</sst>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NumberFormat="1" applyBorder="1"/>
    <xf numFmtId="0" fontId="0" fillId="0" borderId="8" xfId="0" applyBorder="1"/>
    <xf numFmtId="0" fontId="0" fillId="0" borderId="9" xfId="0" applyNumberFormat="1" applyBorder="1"/>
    <xf numFmtId="0" fontId="0" fillId="0" borderId="0" xfId="0" applyFill="1" applyBorder="1"/>
    <xf numFmtId="171" fontId="0" fillId="0" borderId="0" xfId="0" applyNumberFormat="1"/>
    <xf numFmtId="1" fontId="0" fillId="0" borderId="0" xfId="0" applyNumberFormat="1"/>
    <xf numFmtId="9" fontId="0" fillId="0" borderId="0" xfId="1" applyFont="1"/>
    <xf numFmtId="10" fontId="0" fillId="0" borderId="0" xfId="1" applyNumberFormat="1" applyFont="1"/>
    <xf numFmtId="171" fontId="0" fillId="0" borderId="4" xfId="0" applyNumberFormat="1" applyBorder="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10" xfId="0" applyNumberFormat="1" applyBorder="1"/>
    <xf numFmtId="0" fontId="0" fillId="0" borderId="6" xfId="0" applyBorder="1" applyAlignment="1">
      <alignment horizontal="left"/>
    </xf>
    <xf numFmtId="0" fontId="0" fillId="0" borderId="0" xfId="0" applyFill="1" applyBorder="1" applyAlignment="1">
      <alignment horizontal="left"/>
    </xf>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4">
    <dxf>
      <numFmt numFmtId="171"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140261215218627"/>
          <c:y val="0"/>
          <c:w val="0.66212379329926174"/>
          <c:h val="0.84126984126984128"/>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Satisfaction!$A$8:$A$9</c:f>
              <c:strCache>
                <c:ptCount val="2"/>
                <c:pt idx="0">
                  <c:v>Rating</c:v>
                </c:pt>
                <c:pt idx="1">
                  <c:v>Balance Rating </c:v>
                </c:pt>
              </c:strCache>
            </c:strRef>
          </c:cat>
          <c:val>
            <c:numRef>
              <c:f>Satisfaction!$B$8:$B$9</c:f>
              <c:numCache>
                <c:formatCode>0.0</c:formatCode>
                <c:ptCount val="2"/>
                <c:pt idx="0">
                  <c:v>2.6265306122448981</c:v>
                </c:pt>
                <c:pt idx="1">
                  <c:v>1.3734693877551019</c:v>
                </c:pt>
              </c:numCache>
            </c:numRef>
          </c:val>
          <c:extLst>
            <c:ext xmlns:c16="http://schemas.microsoft.com/office/drawing/2014/chart" uri="{C3380CC4-5D6E-409C-BE32-E72D297353CC}">
              <c16:uniqueId val="{00000000-2C38-42C5-83A3-FD0C6B3B043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69EB-4B70-9141-34FC258D401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48</c:v>
                </c:pt>
                <c:pt idx="1">
                  <c:v>170</c:v>
                </c:pt>
                <c:pt idx="2">
                  <c:v>282</c:v>
                </c:pt>
                <c:pt idx="3">
                  <c:v>398</c:v>
                </c:pt>
                <c:pt idx="4">
                  <c:v>572</c:v>
                </c:pt>
              </c:numCache>
            </c:numRef>
          </c:val>
          <c:extLst>
            <c:ext xmlns:c16="http://schemas.microsoft.com/office/drawing/2014/chart" uri="{C3380CC4-5D6E-409C-BE32-E72D297353CC}">
              <c16:uniqueId val="{00000000-2DA8-4F44-890B-EE680E6024C1}"/>
            </c:ext>
          </c:extLst>
        </c:ser>
        <c:dLbls>
          <c:dLblPos val="outEnd"/>
          <c:showLegendKey val="0"/>
          <c:showVal val="1"/>
          <c:showCatName val="0"/>
          <c:showSerName val="0"/>
          <c:showPercent val="0"/>
          <c:showBubbleSize val="0"/>
        </c:dLbls>
        <c:gapWidth val="182"/>
        <c:axId val="1099668928"/>
        <c:axId val="1099671328"/>
      </c:barChart>
      <c:catAx>
        <c:axId val="1099668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671328"/>
        <c:crosses val="autoZero"/>
        <c:auto val="1"/>
        <c:lblAlgn val="ctr"/>
        <c:lblOffset val="100"/>
        <c:noMultiLvlLbl val="0"/>
      </c:catAx>
      <c:valAx>
        <c:axId val="1099671328"/>
        <c:scaling>
          <c:orientation val="minMax"/>
        </c:scaling>
        <c:delete val="1"/>
        <c:axPos val="b"/>
        <c:numFmt formatCode="General" sourceLinked="1"/>
        <c:majorTickMark val="out"/>
        <c:minorTickMark val="none"/>
        <c:tickLblPos val="nextTo"/>
        <c:crossAx val="10996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F18-4D87-9C1F-565A116C0D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cat>
            <c:strRef>
              <c:f>Age!$A$4:$A$9</c:f>
              <c:strCache>
                <c:ptCount val="5"/>
                <c:pt idx="0">
                  <c:v>25 - 34</c:v>
                </c:pt>
                <c:pt idx="1">
                  <c:v>35 - 44</c:v>
                </c:pt>
                <c:pt idx="2">
                  <c:v>45 - 54</c:v>
                </c:pt>
                <c:pt idx="3">
                  <c:v>Over 55</c:v>
                </c:pt>
                <c:pt idx="4">
                  <c:v>Under 25</c:v>
                </c:pt>
              </c:strCache>
            </c:strRef>
          </c:cat>
          <c:val>
            <c:numRef>
              <c:f>Age!$B$4:$B$9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1CE0-426F-BD2E-D8ACB7FE143F}"/>
            </c:ext>
          </c:extLst>
        </c:ser>
        <c:dLbls>
          <c:showLegendKey val="0"/>
          <c:showVal val="0"/>
          <c:showCatName val="0"/>
          <c:showSerName val="0"/>
          <c:showPercent val="0"/>
          <c:showBubbleSize val="0"/>
        </c:dLbls>
        <c:gapWidth val="219"/>
        <c:overlap val="-27"/>
        <c:axId val="1100070640"/>
        <c:axId val="1100082160"/>
      </c:barChart>
      <c:catAx>
        <c:axId val="110007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82160"/>
        <c:crosses val="autoZero"/>
        <c:auto val="1"/>
        <c:lblAlgn val="ctr"/>
        <c:lblOffset val="100"/>
        <c:noMultiLvlLbl val="0"/>
      </c:catAx>
      <c:valAx>
        <c:axId val="110008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7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67-4B8B-BA9C-BE8B2C4AD4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67-4B8B-BA9C-BE8B2C4AD4FF}"/>
              </c:ext>
            </c:extLst>
          </c:dPt>
          <c:cat>
            <c:strRef>
              <c:f>Satisfaction!$A$8:$A$9</c:f>
              <c:strCache>
                <c:ptCount val="2"/>
                <c:pt idx="0">
                  <c:v>Rating</c:v>
                </c:pt>
                <c:pt idx="1">
                  <c:v>Balance Rating </c:v>
                </c:pt>
              </c:strCache>
            </c:strRef>
          </c:cat>
          <c:val>
            <c:numRef>
              <c:f>Satisfaction!$B$8:$B$9</c:f>
              <c:numCache>
                <c:formatCode>0.0</c:formatCode>
                <c:ptCount val="2"/>
                <c:pt idx="0">
                  <c:v>2.6265306122448981</c:v>
                </c:pt>
                <c:pt idx="1">
                  <c:v>1.3734693877551019</c:v>
                </c:pt>
              </c:numCache>
            </c:numRef>
          </c:val>
          <c:extLst>
            <c:ext xmlns:c16="http://schemas.microsoft.com/office/drawing/2014/chart" uri="{C3380CC4-5D6E-409C-BE32-E72D297353CC}">
              <c16:uniqueId val="{00000004-DD67-4B8B-BA9C-BE8B2C4AD4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64-4B44-B68C-C13F97EDC2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64-4B44-B68C-C13F97EDC2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Gender!$C$9:$C$10</c:f>
              <c:numCache>
                <c:formatCode>0%</c:formatCode>
                <c:ptCount val="2"/>
                <c:pt idx="0">
                  <c:v>0.4</c:v>
                </c:pt>
                <c:pt idx="1">
                  <c:v>0.6</c:v>
                </c:pt>
              </c:numCache>
            </c:numRef>
          </c:val>
          <c:extLst>
            <c:ext xmlns:c16="http://schemas.microsoft.com/office/drawing/2014/chart" uri="{C3380CC4-5D6E-409C-BE32-E72D297353CC}">
              <c16:uniqueId val="{00000004-F964-4B44-B68C-C13F97EDC26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48</c:v>
                </c:pt>
                <c:pt idx="1">
                  <c:v>170</c:v>
                </c:pt>
                <c:pt idx="2">
                  <c:v>282</c:v>
                </c:pt>
                <c:pt idx="3">
                  <c:v>398</c:v>
                </c:pt>
                <c:pt idx="4">
                  <c:v>572</c:v>
                </c:pt>
              </c:numCache>
            </c:numRef>
          </c:val>
          <c:extLst>
            <c:ext xmlns:c16="http://schemas.microsoft.com/office/drawing/2014/chart" uri="{C3380CC4-5D6E-409C-BE32-E72D297353CC}">
              <c16:uniqueId val="{00000000-E505-43BA-9E13-E8D773BC36F0}"/>
            </c:ext>
          </c:extLst>
        </c:ser>
        <c:dLbls>
          <c:dLblPos val="outEnd"/>
          <c:showLegendKey val="0"/>
          <c:showVal val="1"/>
          <c:showCatName val="0"/>
          <c:showSerName val="0"/>
          <c:showPercent val="0"/>
          <c:showBubbleSize val="0"/>
        </c:dLbls>
        <c:gapWidth val="115"/>
        <c:overlap val="-20"/>
        <c:axId val="1099668928"/>
        <c:axId val="1099671328"/>
      </c:barChart>
      <c:catAx>
        <c:axId val="10996689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099671328"/>
        <c:crosses val="autoZero"/>
        <c:auto val="1"/>
        <c:lblAlgn val="ctr"/>
        <c:lblOffset val="100"/>
        <c:noMultiLvlLbl val="0"/>
      </c:catAx>
      <c:valAx>
        <c:axId val="10996713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6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Attrition!PivotTable10</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B1-4785-8953-F89E2A73AE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B1-4785-8953-F89E2A73AE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B1-4785-8953-F89E2A73AE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06B1-4785-8953-F89E2A73AEF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884707219350411"/>
          <c:y val="0.32214303305653041"/>
          <c:w val="0.22269654952921702"/>
          <c:h val="0.55717860076168069"/>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Age!$A$4:$A$9</c:f>
              <c:strCache>
                <c:ptCount val="5"/>
                <c:pt idx="0">
                  <c:v>25 - 34</c:v>
                </c:pt>
                <c:pt idx="1">
                  <c:v>35 - 44</c:v>
                </c:pt>
                <c:pt idx="2">
                  <c:v>45 - 54</c:v>
                </c:pt>
                <c:pt idx="3">
                  <c:v>Over 55</c:v>
                </c:pt>
                <c:pt idx="4">
                  <c:v>Under 25</c:v>
                </c:pt>
              </c:strCache>
            </c:strRef>
          </c:cat>
          <c:val>
            <c:numRef>
              <c:f>Age!$B$4:$B$9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558B-47D3-AE78-83D9FE5B5BC3}"/>
            </c:ext>
          </c:extLst>
        </c:ser>
        <c:dLbls>
          <c:dLblPos val="inEnd"/>
          <c:showLegendKey val="0"/>
          <c:showVal val="1"/>
          <c:showCatName val="0"/>
          <c:showSerName val="0"/>
          <c:showPercent val="0"/>
          <c:showBubbleSize val="0"/>
        </c:dLbls>
        <c:gapWidth val="100"/>
        <c:overlap val="-24"/>
        <c:axId val="1100070640"/>
        <c:axId val="1100082160"/>
      </c:barChart>
      <c:catAx>
        <c:axId val="11000706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082160"/>
        <c:crosses val="autoZero"/>
        <c:auto val="1"/>
        <c:lblAlgn val="ctr"/>
        <c:lblOffset val="100"/>
        <c:noMultiLvlLbl val="0"/>
      </c:catAx>
      <c:valAx>
        <c:axId val="110008216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110007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113D978-BC4B-4FB2-8D80-FD14E61E4A46}">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DA24BAE4-9611-4762-AD34-189A6B9B2482}">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0113D978-BC4B-4FB2-8D80-FD14E61E4A46}">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DA24BAE4-9611-4762-AD34-189A6B9B2482}">
          <cx:dataLabels>
            <cx:visibility seriesName="0" categoryName="0" value="1"/>
          </cx:dataLabels>
          <cx:dataId val="0"/>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1.svg"/><Relationship Id="rId18" Type="http://schemas.microsoft.com/office/2014/relationships/chartEx" Target="../charts/chartEx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svg"/><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388620</xdr:colOff>
      <xdr:row>2</xdr:row>
      <xdr:rowOff>137161</xdr:rowOff>
    </xdr:from>
    <xdr:to>
      <xdr:col>8</xdr:col>
      <xdr:colOff>205740</xdr:colOff>
      <xdr:row>7</xdr:row>
      <xdr:rowOff>175261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B241D1C1-4492-19E9-0E85-895F728B52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139940" y="533401"/>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308610</xdr:colOff>
      <xdr:row>3</xdr:row>
      <xdr:rowOff>99060</xdr:rowOff>
    </xdr:from>
    <xdr:to>
      <xdr:col>8</xdr:col>
      <xdr:colOff>533400</xdr:colOff>
      <xdr:row>12</xdr:row>
      <xdr:rowOff>76200</xdr:rowOff>
    </xdr:to>
    <xdr:graphicFrame macro="">
      <xdr:nvGraphicFramePr>
        <xdr:cNvPr id="2" name="Chart 1">
          <a:extLst>
            <a:ext uri="{FF2B5EF4-FFF2-40B4-BE49-F238E27FC236}">
              <a16:creationId xmlns:a16="http://schemas.microsoft.com/office/drawing/2014/main" id="{DF10118B-3509-FB10-E50B-E77C0808E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579120</xdr:colOff>
      <xdr:row>3</xdr:row>
      <xdr:rowOff>7621</xdr:rowOff>
    </xdr:from>
    <xdr:to>
      <xdr:col>9</xdr:col>
      <xdr:colOff>396240</xdr:colOff>
      <xdr:row>13</xdr:row>
      <xdr:rowOff>175261</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D27B4419-0405-826D-8B9F-A24835945D2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057900" y="601981"/>
              <a:ext cx="1828800" cy="2148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xdr:colOff>
      <xdr:row>4</xdr:row>
      <xdr:rowOff>152401</xdr:rowOff>
    </xdr:from>
    <xdr:to>
      <xdr:col>12</xdr:col>
      <xdr:colOff>510540</xdr:colOff>
      <xdr:row>11</xdr:row>
      <xdr:rowOff>190501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3167AD8E-0E89-EF37-81C3-D5E096CC6B5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183880" y="944881"/>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613410</xdr:colOff>
      <xdr:row>15</xdr:row>
      <xdr:rowOff>129540</xdr:rowOff>
    </xdr:from>
    <xdr:to>
      <xdr:col>9</xdr:col>
      <xdr:colOff>491490</xdr:colOff>
      <xdr:row>29</xdr:row>
      <xdr:rowOff>99060</xdr:rowOff>
    </xdr:to>
    <xdr:graphicFrame macro="">
      <xdr:nvGraphicFramePr>
        <xdr:cNvPr id="4" name="Chart 3">
          <a:extLst>
            <a:ext uri="{FF2B5EF4-FFF2-40B4-BE49-F238E27FC236}">
              <a16:creationId xmlns:a16="http://schemas.microsoft.com/office/drawing/2014/main" id="{C0DD0FF2-4983-36D2-E963-2AD2C8013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384810</xdr:colOff>
      <xdr:row>2</xdr:row>
      <xdr:rowOff>190500</xdr:rowOff>
    </xdr:from>
    <xdr:to>
      <xdr:col>11</xdr:col>
      <xdr:colOff>262890</xdr:colOff>
      <xdr:row>16</xdr:row>
      <xdr:rowOff>160020</xdr:rowOff>
    </xdr:to>
    <xdr:graphicFrame macro="">
      <xdr:nvGraphicFramePr>
        <xdr:cNvPr id="3" name="Chart 2">
          <a:extLst>
            <a:ext uri="{FF2B5EF4-FFF2-40B4-BE49-F238E27FC236}">
              <a16:creationId xmlns:a16="http://schemas.microsoft.com/office/drawing/2014/main" id="{A8BE2AFE-4B87-823D-1B10-CA1D1190F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1276350</xdr:colOff>
      <xdr:row>6</xdr:row>
      <xdr:rowOff>38100</xdr:rowOff>
    </xdr:from>
    <xdr:to>
      <xdr:col>7</xdr:col>
      <xdr:colOff>209550</xdr:colOff>
      <xdr:row>22</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BC9653A-465D-D6BB-4E08-6E6FB95978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226820"/>
              <a:ext cx="4572000" cy="3162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102870</xdr:colOff>
      <xdr:row>6</xdr:row>
      <xdr:rowOff>38100</xdr:rowOff>
    </xdr:from>
    <xdr:to>
      <xdr:col>11</xdr:col>
      <xdr:colOff>651510</xdr:colOff>
      <xdr:row>20</xdr:row>
      <xdr:rowOff>7620</xdr:rowOff>
    </xdr:to>
    <xdr:graphicFrame macro="">
      <xdr:nvGraphicFramePr>
        <xdr:cNvPr id="2" name="Chart 1">
          <a:extLst>
            <a:ext uri="{FF2B5EF4-FFF2-40B4-BE49-F238E27FC236}">
              <a16:creationId xmlns:a16="http://schemas.microsoft.com/office/drawing/2014/main" id="{8C8BEA07-EEEB-C490-3FC2-ADD1F3DD9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514350</xdr:colOff>
      <xdr:row>6</xdr:row>
      <xdr:rowOff>129540</xdr:rowOff>
    </xdr:from>
    <xdr:to>
      <xdr:col>12</xdr:col>
      <xdr:colOff>392430</xdr:colOff>
      <xdr:row>20</xdr:row>
      <xdr:rowOff>99060</xdr:rowOff>
    </xdr:to>
    <xdr:graphicFrame macro="">
      <xdr:nvGraphicFramePr>
        <xdr:cNvPr id="2" name="Chart 1">
          <a:extLst>
            <a:ext uri="{FF2B5EF4-FFF2-40B4-BE49-F238E27FC236}">
              <a16:creationId xmlns:a16="http://schemas.microsoft.com/office/drawing/2014/main" id="{234F6F06-2C35-8C83-AF7B-9CB90F4BA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1424940</xdr:colOff>
      <xdr:row>15</xdr:row>
      <xdr:rowOff>38101</xdr:rowOff>
    </xdr:from>
    <xdr:to>
      <xdr:col>5</xdr:col>
      <xdr:colOff>175260</xdr:colOff>
      <xdr:row>21</xdr:row>
      <xdr:rowOff>114301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C684EA72-D65E-9AF3-7114-C89930AF01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091940" y="300990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1</xdr:row>
      <xdr:rowOff>144781</xdr:rowOff>
    </xdr:from>
    <xdr:to>
      <xdr:col>12</xdr:col>
      <xdr:colOff>350520</xdr:colOff>
      <xdr:row>12</xdr:row>
      <xdr:rowOff>45721</xdr:rowOff>
    </xdr:to>
    <mc:AlternateContent xmlns:mc="http://schemas.openxmlformats.org/markup-compatibility/2006">
      <mc:Choice xmlns:a14="http://schemas.microsoft.com/office/drawing/2010/main" Requires="a14">
        <xdr:graphicFrame macro="">
          <xdr:nvGraphicFramePr>
            <xdr:cNvPr id="4" name="Education Field 1">
              <a:extLst>
                <a:ext uri="{FF2B5EF4-FFF2-40B4-BE49-F238E27FC236}">
                  <a16:creationId xmlns:a16="http://schemas.microsoft.com/office/drawing/2014/main" id="{142792FD-31AF-4443-C5DC-03CB3E2CA4B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8961120" y="342901"/>
              <a:ext cx="1828800" cy="208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110490</xdr:colOff>
      <xdr:row>6</xdr:row>
      <xdr:rowOff>38100</xdr:rowOff>
    </xdr:from>
    <xdr:to>
      <xdr:col>11</xdr:col>
      <xdr:colOff>659130</xdr:colOff>
      <xdr:row>20</xdr:row>
      <xdr:rowOff>7620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A910CC0-7091-B508-160A-E19BFB08B0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22682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137731</xdr:colOff>
      <xdr:row>0</xdr:row>
      <xdr:rowOff>0</xdr:rowOff>
    </xdr:from>
    <xdr:ext cx="14863330" cy="9011516"/>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440058" y="0"/>
          <a:ext cx="14863330" cy="9011516"/>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185471"/>
              <a:ext cx="13344036" cy="1029091"/>
              <a:chOff x="1846116" y="1185471"/>
              <a:chExt cx="13458808" cy="1029091"/>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 name="Shape 60">
                <a:extLst>
                  <a:ext uri="{FF2B5EF4-FFF2-40B4-BE49-F238E27FC236}">
                    <a16:creationId xmlns:a16="http://schemas.microsoft.com/office/drawing/2014/main" id="{C1038111-C1A2-4A3C-7577-F10D693A274B}"/>
                  </a:ext>
                </a:extLst>
              </xdr:cNvPr>
              <xdr:cNvSpPr/>
            </xdr:nvSpPr>
            <xdr:spPr>
              <a:xfrm>
                <a:off x="1901515" y="1185472"/>
                <a:ext cx="2602058" cy="998848"/>
              </a:xfrm>
              <a:prstGeom prst="roundRect">
                <a:avLst>
                  <a:gd name="adj" fmla="val 6048"/>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61">
                <a:extLst>
                  <a:ext uri="{FF2B5EF4-FFF2-40B4-BE49-F238E27FC236}">
                    <a16:creationId xmlns:a16="http://schemas.microsoft.com/office/drawing/2014/main" id="{3658C430-0D9F-A524-B428-C755C7C2A68F}"/>
                  </a:ext>
                </a:extLst>
              </xdr:cNvPr>
              <xdr:cNvSpPr/>
            </xdr:nvSpPr>
            <xdr:spPr>
              <a:xfrm>
                <a:off x="4601853" y="1185472"/>
                <a:ext cx="2602058" cy="998848"/>
              </a:xfrm>
              <a:prstGeom prst="roundRect">
                <a:avLst>
                  <a:gd name="adj" fmla="val 6048"/>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9" name="Shape 62">
                <a:extLst>
                  <a:ext uri="{FF2B5EF4-FFF2-40B4-BE49-F238E27FC236}">
                    <a16:creationId xmlns:a16="http://schemas.microsoft.com/office/drawing/2014/main" id="{539F1D32-3F60-10E4-F741-80DB80E2AC10}"/>
                  </a:ext>
                </a:extLst>
              </xdr:cNvPr>
              <xdr:cNvSpPr/>
            </xdr:nvSpPr>
            <xdr:spPr>
              <a:xfrm>
                <a:off x="7302191" y="1185471"/>
                <a:ext cx="2602058" cy="998848"/>
              </a:xfrm>
              <a:prstGeom prst="roundRect">
                <a:avLst>
                  <a:gd name="adj" fmla="val 6048"/>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 name="Shape 63">
                <a:extLst>
                  <a:ext uri="{FF2B5EF4-FFF2-40B4-BE49-F238E27FC236}">
                    <a16:creationId xmlns:a16="http://schemas.microsoft.com/office/drawing/2014/main" id="{FAEF9C2F-0C4B-0278-6E88-16D222F30C08}"/>
                  </a:ext>
                </a:extLst>
              </xdr:cNvPr>
              <xdr:cNvSpPr/>
            </xdr:nvSpPr>
            <xdr:spPr>
              <a:xfrm>
                <a:off x="10002529" y="1185472"/>
                <a:ext cx="2602058" cy="998848"/>
              </a:xfrm>
              <a:prstGeom prst="roundRect">
                <a:avLst>
                  <a:gd name="adj" fmla="val 6048"/>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64">
                <a:extLst>
                  <a:ext uri="{FF2B5EF4-FFF2-40B4-BE49-F238E27FC236}">
                    <a16:creationId xmlns:a16="http://schemas.microsoft.com/office/drawing/2014/main" id="{57B00B11-46D1-A4E3-FEB8-2A05464E1682}"/>
                  </a:ext>
                </a:extLst>
              </xdr:cNvPr>
              <xdr:cNvSpPr/>
            </xdr:nvSpPr>
            <xdr:spPr>
              <a:xfrm>
                <a:off x="12702866" y="1185472"/>
                <a:ext cx="2602058" cy="998848"/>
              </a:xfrm>
              <a:prstGeom prst="roundRect">
                <a:avLst>
                  <a:gd name="adj" fmla="val 6048"/>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32308"/>
              <a:ext cx="3922857" cy="2739752"/>
              <a:chOff x="1847145" y="2273945"/>
              <a:chExt cx="3922857" cy="280382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6">
                <a:extLst>
                  <a:ext uri="{FF2B5EF4-FFF2-40B4-BE49-F238E27FC236}">
                    <a16:creationId xmlns:a16="http://schemas.microsoft.com/office/drawing/2014/main" id="{A5049C3F-1468-9E2F-ADC4-3ABCD3CD0A85}"/>
                  </a:ext>
                </a:extLst>
              </xdr:cNvPr>
              <xdr:cNvSpPr/>
            </xdr:nvSpPr>
            <xdr:spPr>
              <a:xfrm>
                <a:off x="1902072" y="2273945"/>
                <a:ext cx="3867930" cy="2772878"/>
              </a:xfrm>
              <a:prstGeom prst="roundRect">
                <a:avLst>
                  <a:gd name="adj" fmla="val 3303"/>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 name="Shape 56">
              <a:extLst>
                <a:ext uri="{FF2B5EF4-FFF2-40B4-BE49-F238E27FC236}">
                  <a16:creationId xmlns:a16="http://schemas.microsoft.com/office/drawing/2014/main" id="{07C37097-CBF8-A845-6C4C-6E808E17DA0B}"/>
                </a:ext>
              </a:extLst>
            </xdr:cNvPr>
            <xdr:cNvSpPr/>
          </xdr:nvSpPr>
          <xdr:spPr>
            <a:xfrm>
              <a:off x="1907376" y="240657"/>
              <a:ext cx="7691601" cy="834001"/>
            </a:xfrm>
            <a:prstGeom prst="roundRect">
              <a:avLst>
                <a:gd name="adj" fmla="val 10000"/>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4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Lato"/>
                  <a:ea typeface="Lato"/>
                  <a:cs typeface="Lato"/>
                  <a:sym typeface="Lato"/>
                </a:rPr>
                <a:t>               HR Analytics Dashboard</a:t>
              </a:r>
              <a:endParaRPr sz="4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Lato"/>
                <a:ea typeface="Lato"/>
                <a:cs typeface="Lato"/>
                <a:sym typeface="Lato"/>
              </a:endParaRPr>
            </a:p>
          </xdr:txBody>
        </xdr:sp>
        <xdr:sp macro="" textlink="">
          <xdr:nvSpPr>
            <xdr:cNvPr id="5" name="Shape 57">
              <a:extLst>
                <a:ext uri="{FF2B5EF4-FFF2-40B4-BE49-F238E27FC236}">
                  <a16:creationId xmlns:a16="http://schemas.microsoft.com/office/drawing/2014/main" id="{F0DEB9E0-DBA9-1488-D34B-ED2C08C945C2}"/>
                </a:ext>
              </a:extLst>
            </xdr:cNvPr>
            <xdr:cNvSpPr/>
          </xdr:nvSpPr>
          <xdr:spPr>
            <a:xfrm>
              <a:off x="9713276" y="240657"/>
              <a:ext cx="5467351" cy="834001"/>
            </a:xfrm>
            <a:prstGeom prst="roundRect">
              <a:avLst>
                <a:gd name="adj" fmla="val 10000"/>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 name="Shape 58">
              <a:extLst>
                <a:ext uri="{FF2B5EF4-FFF2-40B4-BE49-F238E27FC236}">
                  <a16:creationId xmlns:a16="http://schemas.microsoft.com/office/drawing/2014/main" id="{7A90314E-9829-9427-805A-7DD76BA0C322}"/>
                </a:ext>
              </a:extLst>
            </xdr:cNvPr>
            <xdr:cNvSpPr/>
          </xdr:nvSpPr>
          <xdr:spPr>
            <a:xfrm>
              <a:off x="5874701" y="2274653"/>
              <a:ext cx="4819651" cy="2772878"/>
            </a:xfrm>
            <a:prstGeom prst="roundRect">
              <a:avLst>
                <a:gd name="adj" fmla="val 3303"/>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69">
              <a:extLst>
                <a:ext uri="{FF2B5EF4-FFF2-40B4-BE49-F238E27FC236}">
                  <a16:creationId xmlns:a16="http://schemas.microsoft.com/office/drawing/2014/main" id="{8F3E7B7E-14A3-E7D9-49A1-E6FCB290C10F}"/>
                </a:ext>
              </a:extLst>
            </xdr:cNvPr>
            <xdr:cNvSpPr/>
          </xdr:nvSpPr>
          <xdr:spPr>
            <a:xfrm>
              <a:off x="10799126" y="2274653"/>
              <a:ext cx="4381501" cy="2772878"/>
            </a:xfrm>
            <a:prstGeom prst="roundRect">
              <a:avLst>
                <a:gd name="adj" fmla="val 3303"/>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71">
              <a:extLst>
                <a:ext uri="{FF2B5EF4-FFF2-40B4-BE49-F238E27FC236}">
                  <a16:creationId xmlns:a16="http://schemas.microsoft.com/office/drawing/2014/main" id="{2D9689F8-C4F5-70BE-0A00-35A250466F96}"/>
                </a:ext>
              </a:extLst>
            </xdr:cNvPr>
            <xdr:cNvSpPr/>
          </xdr:nvSpPr>
          <xdr:spPr>
            <a:xfrm>
              <a:off x="1902072" y="2284333"/>
              <a:ext cx="3867930" cy="2754668"/>
            </a:xfrm>
            <a:prstGeom prst="roundRect">
              <a:avLst>
                <a:gd name="adj" fmla="val 3303"/>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 name="Shape 73">
              <a:extLst>
                <a:ext uri="{FF2B5EF4-FFF2-40B4-BE49-F238E27FC236}">
                  <a16:creationId xmlns:a16="http://schemas.microsoft.com/office/drawing/2014/main" id="{C90A48CE-CF81-CE7D-4EA5-2216E39060EC}"/>
                </a:ext>
              </a:extLst>
            </xdr:cNvPr>
            <xdr:cNvSpPr/>
          </xdr:nvSpPr>
          <xdr:spPr>
            <a:xfrm>
              <a:off x="5864471" y="5132308"/>
              <a:ext cx="3564000" cy="2709509"/>
            </a:xfrm>
            <a:prstGeom prst="roundRect">
              <a:avLst>
                <a:gd name="adj" fmla="val 3303"/>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75">
              <a:extLst>
                <a:ext uri="{FF2B5EF4-FFF2-40B4-BE49-F238E27FC236}">
                  <a16:creationId xmlns:a16="http://schemas.microsoft.com/office/drawing/2014/main" id="{A8F2D5B2-BBC6-F119-F048-89B52AF2511C}"/>
                </a:ext>
              </a:extLst>
            </xdr:cNvPr>
            <xdr:cNvSpPr/>
          </xdr:nvSpPr>
          <xdr:spPr>
            <a:xfrm>
              <a:off x="9522071" y="5132308"/>
              <a:ext cx="2843999" cy="2700000"/>
            </a:xfrm>
            <a:prstGeom prst="roundRect">
              <a:avLst>
                <a:gd name="adj" fmla="val 3303"/>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7" name="Shape 77">
              <a:extLst>
                <a:ext uri="{FF2B5EF4-FFF2-40B4-BE49-F238E27FC236}">
                  <a16:creationId xmlns:a16="http://schemas.microsoft.com/office/drawing/2014/main" id="{B532ADFB-DF1B-B003-C4DE-38655E79FD27}"/>
                </a:ext>
              </a:extLst>
            </xdr:cNvPr>
            <xdr:cNvSpPr/>
          </xdr:nvSpPr>
          <xdr:spPr>
            <a:xfrm>
              <a:off x="12474822" y="5132308"/>
              <a:ext cx="2700000" cy="2700000"/>
            </a:xfrm>
            <a:prstGeom prst="roundRect">
              <a:avLst>
                <a:gd name="adj" fmla="val 3303"/>
              </a:avLst>
            </a:prstGeom>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oneCellAnchor>
    <xdr:from>
      <xdr:col>2</xdr:col>
      <xdr:colOff>524028</xdr:colOff>
      <xdr:row>1</xdr:row>
      <xdr:rowOff>4075</xdr:rowOff>
    </xdr:from>
    <xdr:ext cx="1717963" cy="759402"/>
    <xdr:pic>
      <xdr:nvPicPr>
        <xdr:cNvPr id="20" name="image1.png">
          <a:extLst>
            <a:ext uri="{FF2B5EF4-FFF2-40B4-BE49-F238E27FC236}">
              <a16:creationId xmlns:a16="http://schemas.microsoft.com/office/drawing/2014/main" id="{08BF97DA-40BD-4653-AB6E-FFE04192E8FC}"/>
            </a:ext>
          </a:extLst>
        </xdr:cNvPr>
        <xdr:cNvPicPr preferRelativeResize="0"/>
      </xdr:nvPicPr>
      <xdr:blipFill>
        <a:blip xmlns:r="http://schemas.openxmlformats.org/officeDocument/2006/relationships" r:embed="rId1" cstate="print"/>
        <a:stretch>
          <a:fillRect/>
        </a:stretch>
      </xdr:blipFill>
      <xdr:spPr>
        <a:xfrm>
          <a:off x="1832875" y="192334"/>
          <a:ext cx="1717963" cy="759402"/>
        </a:xfrm>
        <a:prstGeom prst="rect">
          <a:avLst/>
        </a:prstGeom>
        <a:noFill/>
      </xdr:spPr>
    </xdr:pic>
    <xdr:clientData fLocksWithSheet="0"/>
  </xdr:oneCellAnchor>
  <xdr:twoCellAnchor>
    <xdr:from>
      <xdr:col>7</xdr:col>
      <xdr:colOff>97971</xdr:colOff>
      <xdr:row>6</xdr:row>
      <xdr:rowOff>98612</xdr:rowOff>
    </xdr:from>
    <xdr:to>
      <xdr:col>11</xdr:col>
      <xdr:colOff>241406</xdr:colOff>
      <xdr:row>8</xdr:row>
      <xdr:rowOff>89646</xdr:rowOff>
    </xdr:to>
    <xdr:sp macro="" textlink="">
      <xdr:nvSpPr>
        <xdr:cNvPr id="97" name="TextBox 96">
          <a:extLst>
            <a:ext uri="{FF2B5EF4-FFF2-40B4-BE49-F238E27FC236}">
              <a16:creationId xmlns:a16="http://schemas.microsoft.com/office/drawing/2014/main" id="{AAD55792-4CFC-B863-ABF9-1D7D9D3756AD}"/>
            </a:ext>
          </a:extLst>
        </xdr:cNvPr>
        <xdr:cNvSpPr txBox="1"/>
      </xdr:nvSpPr>
      <xdr:spPr>
        <a:xfrm>
          <a:off x="4669971" y="1274269"/>
          <a:ext cx="2756006" cy="38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6600">
                <a:solidFill>
                  <a:schemeClr val="accent2"/>
                </a:solidFill>
                <a:prstDash val="solid"/>
              </a:ln>
              <a:solidFill>
                <a:srgbClr val="FFFFFF"/>
              </a:solidFill>
              <a:effectLst>
                <a:outerShdw dist="38100" dir="2700000" algn="tl" rotWithShape="0">
                  <a:schemeClr val="accent2"/>
                </a:outerShdw>
              </a:effectLst>
            </a:rPr>
            <a:t>Attrition</a:t>
          </a:r>
        </a:p>
      </xdr:txBody>
    </xdr:sp>
    <xdr:clientData/>
  </xdr:twoCellAnchor>
  <xdr:twoCellAnchor>
    <xdr:from>
      <xdr:col>11</xdr:col>
      <xdr:colOff>446954</xdr:colOff>
      <xdr:row>6</xdr:row>
      <xdr:rowOff>96691</xdr:rowOff>
    </xdr:from>
    <xdr:to>
      <xdr:col>15</xdr:col>
      <xdr:colOff>312484</xdr:colOff>
      <xdr:row>8</xdr:row>
      <xdr:rowOff>78761</xdr:rowOff>
    </xdr:to>
    <xdr:sp macro="" textlink="">
      <xdr:nvSpPr>
        <xdr:cNvPr id="100" name="TextBox 99">
          <a:extLst>
            <a:ext uri="{FF2B5EF4-FFF2-40B4-BE49-F238E27FC236}">
              <a16:creationId xmlns:a16="http://schemas.microsoft.com/office/drawing/2014/main" id="{66201178-9D04-AFAD-F834-453027DE24B3}"/>
            </a:ext>
          </a:extLst>
        </xdr:cNvPr>
        <xdr:cNvSpPr txBox="1"/>
      </xdr:nvSpPr>
      <xdr:spPr>
        <a:xfrm>
          <a:off x="7631525" y="1272348"/>
          <a:ext cx="2478102" cy="373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6600">
                <a:solidFill>
                  <a:schemeClr val="accent2"/>
                </a:solidFill>
                <a:prstDash val="solid"/>
              </a:ln>
              <a:solidFill>
                <a:srgbClr val="FFFFFF"/>
              </a:solidFill>
              <a:effectLst>
                <a:outerShdw dist="38100" dir="2700000" algn="tl" rotWithShape="0">
                  <a:schemeClr val="accent2"/>
                </a:outerShdw>
              </a:effectLst>
            </a:rPr>
            <a:t>Active Employees</a:t>
          </a:r>
        </a:p>
      </xdr:txBody>
    </xdr:sp>
    <xdr:clientData/>
  </xdr:twoCellAnchor>
  <xdr:twoCellAnchor>
    <xdr:from>
      <xdr:col>16</xdr:col>
      <xdr:colOff>156883</xdr:colOff>
      <xdr:row>6</xdr:row>
      <xdr:rowOff>81963</xdr:rowOff>
    </xdr:from>
    <xdr:to>
      <xdr:col>20</xdr:col>
      <xdr:colOff>85164</xdr:colOff>
      <xdr:row>8</xdr:row>
      <xdr:rowOff>72998</xdr:rowOff>
    </xdr:to>
    <xdr:sp macro="" textlink="">
      <xdr:nvSpPr>
        <xdr:cNvPr id="101" name="TextBox 100">
          <a:extLst>
            <a:ext uri="{FF2B5EF4-FFF2-40B4-BE49-F238E27FC236}">
              <a16:creationId xmlns:a16="http://schemas.microsoft.com/office/drawing/2014/main" id="{90F25887-F171-80AC-AE1F-A61754737EE7}"/>
            </a:ext>
          </a:extLst>
        </xdr:cNvPr>
        <xdr:cNvSpPr txBox="1"/>
      </xdr:nvSpPr>
      <xdr:spPr>
        <a:xfrm>
          <a:off x="10607169" y="1257620"/>
          <a:ext cx="2540852" cy="382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6600">
                <a:solidFill>
                  <a:schemeClr val="accent2"/>
                </a:solidFill>
                <a:prstDash val="solid"/>
              </a:ln>
              <a:solidFill>
                <a:srgbClr val="FFFFFF"/>
              </a:solidFill>
              <a:effectLst>
                <a:outerShdw dist="38100" dir="2700000" algn="tl" rotWithShape="0">
                  <a:schemeClr val="accent2"/>
                </a:outerShdw>
              </a:effectLst>
            </a:rPr>
            <a:t>Attrition Rate</a:t>
          </a:r>
        </a:p>
      </xdr:txBody>
    </xdr:sp>
    <xdr:clientData/>
  </xdr:twoCellAnchor>
  <xdr:twoCellAnchor>
    <xdr:from>
      <xdr:col>20</xdr:col>
      <xdr:colOff>484094</xdr:colOff>
      <xdr:row>6</xdr:row>
      <xdr:rowOff>80041</xdr:rowOff>
    </xdr:from>
    <xdr:to>
      <xdr:col>24</xdr:col>
      <xdr:colOff>161365</xdr:colOff>
      <xdr:row>8</xdr:row>
      <xdr:rowOff>62111</xdr:rowOff>
    </xdr:to>
    <xdr:sp macro="" textlink="">
      <xdr:nvSpPr>
        <xdr:cNvPr id="102" name="TextBox 101">
          <a:extLst>
            <a:ext uri="{FF2B5EF4-FFF2-40B4-BE49-F238E27FC236}">
              <a16:creationId xmlns:a16="http://schemas.microsoft.com/office/drawing/2014/main" id="{376AFBC7-58F5-EF26-D3F1-C1476582CDDD}"/>
            </a:ext>
          </a:extLst>
        </xdr:cNvPr>
        <xdr:cNvSpPr txBox="1"/>
      </xdr:nvSpPr>
      <xdr:spPr>
        <a:xfrm>
          <a:off x="13546951" y="1255698"/>
          <a:ext cx="2289843" cy="373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6600">
                <a:solidFill>
                  <a:schemeClr val="accent2"/>
                </a:solidFill>
                <a:prstDash val="solid"/>
              </a:ln>
              <a:solidFill>
                <a:srgbClr val="FFFFFF"/>
              </a:solidFill>
              <a:effectLst>
                <a:outerShdw dist="38100" dir="2700000" algn="tl" rotWithShape="0">
                  <a:schemeClr val="accent2"/>
                </a:outerShdw>
              </a:effectLst>
            </a:rPr>
            <a:t>Average Age</a:t>
          </a:r>
        </a:p>
      </xdr:txBody>
    </xdr:sp>
    <xdr:clientData/>
  </xdr:twoCellAnchor>
  <xdr:twoCellAnchor>
    <xdr:from>
      <xdr:col>2</xdr:col>
      <xdr:colOff>376518</xdr:colOff>
      <xdr:row>6</xdr:row>
      <xdr:rowOff>89648</xdr:rowOff>
    </xdr:from>
    <xdr:to>
      <xdr:col>6</xdr:col>
      <xdr:colOff>53788</xdr:colOff>
      <xdr:row>8</xdr:row>
      <xdr:rowOff>26894</xdr:rowOff>
    </xdr:to>
    <xdr:sp macro="" textlink="">
      <xdr:nvSpPr>
        <xdr:cNvPr id="103" name="TextBox 102">
          <a:extLst>
            <a:ext uri="{FF2B5EF4-FFF2-40B4-BE49-F238E27FC236}">
              <a16:creationId xmlns:a16="http://schemas.microsoft.com/office/drawing/2014/main" id="{FE203FD6-41BD-36ED-143C-FE57FBFF5A30}"/>
            </a:ext>
          </a:extLst>
        </xdr:cNvPr>
        <xdr:cNvSpPr txBox="1"/>
      </xdr:nvSpPr>
      <xdr:spPr>
        <a:xfrm>
          <a:off x="1685365" y="1219201"/>
          <a:ext cx="2294964"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6600">
                <a:solidFill>
                  <a:schemeClr val="accent2"/>
                </a:solidFill>
                <a:prstDash val="solid"/>
              </a:ln>
              <a:solidFill>
                <a:srgbClr val="FFFFFF"/>
              </a:solidFill>
              <a:effectLst>
                <a:outerShdw dist="38100" dir="2700000" algn="tl" rotWithShape="0">
                  <a:schemeClr val="accent2"/>
                </a:outerShdw>
              </a:effectLst>
            </a:rPr>
            <a:t>Total Employees</a:t>
          </a:r>
        </a:p>
      </xdr:txBody>
    </xdr:sp>
    <xdr:clientData/>
  </xdr:twoCellAnchor>
  <xdr:oneCellAnchor>
    <xdr:from>
      <xdr:col>6</xdr:col>
      <xdr:colOff>139594</xdr:colOff>
      <xdr:row>6</xdr:row>
      <xdr:rowOff>97972</xdr:rowOff>
    </xdr:from>
    <xdr:ext cx="333375" cy="314325"/>
    <xdr:pic>
      <xdr:nvPicPr>
        <xdr:cNvPr id="104" name="image4.png">
          <a:extLst>
            <a:ext uri="{FF2B5EF4-FFF2-40B4-BE49-F238E27FC236}">
              <a16:creationId xmlns:a16="http://schemas.microsoft.com/office/drawing/2014/main" id="{0BB5716E-3C8A-4854-B3BE-117A19E1DCBF}"/>
            </a:ext>
          </a:extLst>
        </xdr:cNvPr>
        <xdr:cNvPicPr preferRelativeResize="0"/>
      </xdr:nvPicPr>
      <xdr:blipFill>
        <a:blip xmlns:r="http://schemas.openxmlformats.org/officeDocument/2006/relationships" r:embed="rId2" cstate="print"/>
        <a:stretch>
          <a:fillRect/>
        </a:stretch>
      </xdr:blipFill>
      <xdr:spPr>
        <a:xfrm>
          <a:off x="4058451" y="1273629"/>
          <a:ext cx="333375" cy="314325"/>
        </a:xfrm>
        <a:prstGeom prst="rect">
          <a:avLst/>
        </a:prstGeom>
        <a:noFill/>
      </xdr:spPr>
    </xdr:pic>
    <xdr:clientData fLocksWithSheet="0"/>
  </xdr:oneCellAnchor>
  <xdr:oneCellAnchor>
    <xdr:from>
      <xdr:col>10</xdr:col>
      <xdr:colOff>457199</xdr:colOff>
      <xdr:row>6</xdr:row>
      <xdr:rowOff>76200</xdr:rowOff>
    </xdr:from>
    <xdr:ext cx="337457" cy="381001"/>
    <xdr:pic>
      <xdr:nvPicPr>
        <xdr:cNvPr id="105" name="image7.png">
          <a:extLst>
            <a:ext uri="{FF2B5EF4-FFF2-40B4-BE49-F238E27FC236}">
              <a16:creationId xmlns:a16="http://schemas.microsoft.com/office/drawing/2014/main" id="{1F0A618E-FDAD-4645-BCF4-438F3729E4BE}"/>
            </a:ext>
          </a:extLst>
        </xdr:cNvPr>
        <xdr:cNvPicPr preferRelativeResize="0"/>
      </xdr:nvPicPr>
      <xdr:blipFill>
        <a:blip xmlns:r="http://schemas.openxmlformats.org/officeDocument/2006/relationships" r:embed="rId3" cstate="print"/>
        <a:stretch>
          <a:fillRect/>
        </a:stretch>
      </xdr:blipFill>
      <xdr:spPr>
        <a:xfrm>
          <a:off x="6988628" y="1251857"/>
          <a:ext cx="337457" cy="381001"/>
        </a:xfrm>
        <a:prstGeom prst="rect">
          <a:avLst/>
        </a:prstGeom>
        <a:noFill/>
      </xdr:spPr>
    </xdr:pic>
    <xdr:clientData fLocksWithSheet="0"/>
  </xdr:oneCellAnchor>
  <xdr:oneCellAnchor>
    <xdr:from>
      <xdr:col>15</xdr:col>
      <xdr:colOff>50646</xdr:colOff>
      <xdr:row>6</xdr:row>
      <xdr:rowOff>130629</xdr:rowOff>
    </xdr:from>
    <xdr:ext cx="419100" cy="304800"/>
    <xdr:pic>
      <xdr:nvPicPr>
        <xdr:cNvPr id="106" name="image5.png">
          <a:extLst>
            <a:ext uri="{FF2B5EF4-FFF2-40B4-BE49-F238E27FC236}">
              <a16:creationId xmlns:a16="http://schemas.microsoft.com/office/drawing/2014/main" id="{7AA1629B-55D2-40FA-9E91-14E12B82D6C2}"/>
            </a:ext>
          </a:extLst>
        </xdr:cNvPr>
        <xdr:cNvPicPr preferRelativeResize="0"/>
      </xdr:nvPicPr>
      <xdr:blipFill>
        <a:blip xmlns:r="http://schemas.openxmlformats.org/officeDocument/2006/relationships" r:embed="rId4" cstate="print"/>
        <a:stretch>
          <a:fillRect/>
        </a:stretch>
      </xdr:blipFill>
      <xdr:spPr>
        <a:xfrm>
          <a:off x="9847789" y="1306286"/>
          <a:ext cx="419100" cy="304800"/>
        </a:xfrm>
        <a:prstGeom prst="rect">
          <a:avLst/>
        </a:prstGeom>
        <a:noFill/>
      </xdr:spPr>
    </xdr:pic>
    <xdr:clientData fLocksWithSheet="0"/>
  </xdr:oneCellAnchor>
  <xdr:oneCellAnchor>
    <xdr:from>
      <xdr:col>19</xdr:col>
      <xdr:colOff>431645</xdr:colOff>
      <xdr:row>6</xdr:row>
      <xdr:rowOff>119743</xdr:rowOff>
    </xdr:from>
    <xdr:ext cx="390525" cy="314325"/>
    <xdr:pic>
      <xdr:nvPicPr>
        <xdr:cNvPr id="107" name="image2.png">
          <a:extLst>
            <a:ext uri="{FF2B5EF4-FFF2-40B4-BE49-F238E27FC236}">
              <a16:creationId xmlns:a16="http://schemas.microsoft.com/office/drawing/2014/main" id="{0E869021-E910-4CCE-9EA0-18C3A5C8F17D}"/>
            </a:ext>
          </a:extLst>
        </xdr:cNvPr>
        <xdr:cNvPicPr preferRelativeResize="0"/>
      </xdr:nvPicPr>
      <xdr:blipFill>
        <a:blip xmlns:r="http://schemas.openxmlformats.org/officeDocument/2006/relationships" r:embed="rId5" cstate="print"/>
        <a:stretch>
          <a:fillRect/>
        </a:stretch>
      </xdr:blipFill>
      <xdr:spPr>
        <a:xfrm>
          <a:off x="12841359" y="1295400"/>
          <a:ext cx="390525" cy="314325"/>
        </a:xfrm>
        <a:prstGeom prst="rect">
          <a:avLst/>
        </a:prstGeom>
        <a:noFill/>
      </xdr:spPr>
    </xdr:pic>
    <xdr:clientData fLocksWithSheet="0"/>
  </xdr:oneCellAnchor>
  <xdr:oneCellAnchor>
    <xdr:from>
      <xdr:col>24</xdr:col>
      <xdr:colOff>228599</xdr:colOff>
      <xdr:row>6</xdr:row>
      <xdr:rowOff>119743</xdr:rowOff>
    </xdr:from>
    <xdr:ext cx="295275" cy="266700"/>
    <xdr:pic>
      <xdr:nvPicPr>
        <xdr:cNvPr id="108" name="image6.png">
          <a:extLst>
            <a:ext uri="{FF2B5EF4-FFF2-40B4-BE49-F238E27FC236}">
              <a16:creationId xmlns:a16="http://schemas.microsoft.com/office/drawing/2014/main" id="{49DAA9F9-98EF-49E7-A379-11E47C4641AD}"/>
            </a:ext>
          </a:extLst>
        </xdr:cNvPr>
        <xdr:cNvPicPr preferRelativeResize="0"/>
      </xdr:nvPicPr>
      <xdr:blipFill>
        <a:blip xmlns:r="http://schemas.openxmlformats.org/officeDocument/2006/relationships" r:embed="rId6" cstate="print"/>
        <a:stretch>
          <a:fillRect/>
        </a:stretch>
      </xdr:blipFill>
      <xdr:spPr>
        <a:xfrm>
          <a:off x="15904028" y="1295400"/>
          <a:ext cx="295275" cy="266700"/>
        </a:xfrm>
        <a:prstGeom prst="rect">
          <a:avLst/>
        </a:prstGeom>
        <a:noFill/>
      </xdr:spPr>
    </xdr:pic>
    <xdr:clientData fLocksWithSheet="0"/>
  </xdr:oneCellAnchor>
  <xdr:twoCellAnchor>
    <xdr:from>
      <xdr:col>2</xdr:col>
      <xdr:colOff>468085</xdr:colOff>
      <xdr:row>8</xdr:row>
      <xdr:rowOff>163285</xdr:rowOff>
    </xdr:from>
    <xdr:to>
      <xdr:col>6</xdr:col>
      <xdr:colOff>97971</xdr:colOff>
      <xdr:row>10</xdr:row>
      <xdr:rowOff>65314</xdr:rowOff>
    </xdr:to>
    <xdr:sp macro="" textlink="KPI!A11">
      <xdr:nvSpPr>
        <xdr:cNvPr id="109" name="TextBox 108">
          <a:extLst>
            <a:ext uri="{FF2B5EF4-FFF2-40B4-BE49-F238E27FC236}">
              <a16:creationId xmlns:a16="http://schemas.microsoft.com/office/drawing/2014/main" id="{64DE27F8-4631-8611-A192-589DB626B2C8}"/>
            </a:ext>
          </a:extLst>
        </xdr:cNvPr>
        <xdr:cNvSpPr txBox="1"/>
      </xdr:nvSpPr>
      <xdr:spPr>
        <a:xfrm>
          <a:off x="1774371" y="1730828"/>
          <a:ext cx="22424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5794BF-0048-4577-A336-78F88AF88F0C}" type="TxLink">
            <a:rPr lang="en-US" sz="2000" b="0" i="0" u="none" strike="noStrike" cap="none" spc="0">
              <a:ln>
                <a:noFill/>
              </a:ln>
              <a:solidFill>
                <a:schemeClr val="tx1"/>
              </a:solidFill>
              <a:effectLst/>
              <a:latin typeface="Calibri"/>
              <a:ea typeface="Calibri"/>
              <a:cs typeface="Calibri"/>
            </a:rPr>
            <a:pPr algn="ctr"/>
            <a:t>1470</a:t>
          </a:fld>
          <a:endParaRPr lang="en-US" sz="1800" b="0" cap="none" spc="0">
            <a:ln>
              <a:noFill/>
            </a:ln>
            <a:solidFill>
              <a:schemeClr val="tx1"/>
            </a:solidFill>
            <a:effectLst/>
          </a:endParaRPr>
        </a:p>
      </xdr:txBody>
    </xdr:sp>
    <xdr:clientData/>
  </xdr:twoCellAnchor>
  <xdr:twoCellAnchor>
    <xdr:from>
      <xdr:col>7</xdr:col>
      <xdr:colOff>192160</xdr:colOff>
      <xdr:row>8</xdr:row>
      <xdr:rowOff>185057</xdr:rowOff>
    </xdr:from>
    <xdr:to>
      <xdr:col>10</xdr:col>
      <xdr:colOff>475188</xdr:colOff>
      <xdr:row>10</xdr:row>
      <xdr:rowOff>87086</xdr:rowOff>
    </xdr:to>
    <xdr:sp macro="" textlink="KPI!B11">
      <xdr:nvSpPr>
        <xdr:cNvPr id="110" name="TextBox 109">
          <a:extLst>
            <a:ext uri="{FF2B5EF4-FFF2-40B4-BE49-F238E27FC236}">
              <a16:creationId xmlns:a16="http://schemas.microsoft.com/office/drawing/2014/main" id="{25660330-CEFA-4BCF-9831-67D5ACCC123B}"/>
            </a:ext>
          </a:extLst>
        </xdr:cNvPr>
        <xdr:cNvSpPr txBox="1"/>
      </xdr:nvSpPr>
      <xdr:spPr>
        <a:xfrm>
          <a:off x="4764160" y="1752600"/>
          <a:ext cx="22424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6C7946-7F87-4FA1-8D72-6B9AEB343A3C}" type="TxLink">
            <a:rPr lang="en-US" sz="2000" b="0" i="0" u="none" strike="noStrike" cap="none" spc="0">
              <a:ln>
                <a:noFill/>
              </a:ln>
              <a:solidFill>
                <a:srgbClr val="000000"/>
              </a:solidFill>
              <a:effectLst/>
              <a:latin typeface="Calibri"/>
              <a:ea typeface="Calibri"/>
              <a:cs typeface="Calibri"/>
            </a:rPr>
            <a:t>237</a:t>
          </a:fld>
          <a:endParaRPr lang="en-US" sz="3200" b="0" cap="none" spc="0">
            <a:ln>
              <a:noFill/>
            </a:ln>
            <a:solidFill>
              <a:schemeClr val="tx1"/>
            </a:solidFill>
            <a:effectLst/>
          </a:endParaRPr>
        </a:p>
      </xdr:txBody>
    </xdr:sp>
    <xdr:clientData/>
  </xdr:twoCellAnchor>
  <xdr:twoCellAnchor>
    <xdr:from>
      <xdr:col>11</xdr:col>
      <xdr:colOff>573161</xdr:colOff>
      <xdr:row>8</xdr:row>
      <xdr:rowOff>185057</xdr:rowOff>
    </xdr:from>
    <xdr:to>
      <xdr:col>15</xdr:col>
      <xdr:colOff>203046</xdr:colOff>
      <xdr:row>10</xdr:row>
      <xdr:rowOff>87086</xdr:rowOff>
    </xdr:to>
    <xdr:sp macro="" textlink="KPI!D11">
      <xdr:nvSpPr>
        <xdr:cNvPr id="111" name="TextBox 110">
          <a:extLst>
            <a:ext uri="{FF2B5EF4-FFF2-40B4-BE49-F238E27FC236}">
              <a16:creationId xmlns:a16="http://schemas.microsoft.com/office/drawing/2014/main" id="{D4ECB7C2-C460-4745-B865-F9BC882F99BC}"/>
            </a:ext>
          </a:extLst>
        </xdr:cNvPr>
        <xdr:cNvSpPr txBox="1"/>
      </xdr:nvSpPr>
      <xdr:spPr>
        <a:xfrm>
          <a:off x="7757732" y="1752600"/>
          <a:ext cx="22424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839135-FA38-4A6A-958A-43160B8F2A3A}" type="TxLink">
            <a:rPr lang="en-US" sz="2000" b="0" i="0" u="none" strike="noStrike" cap="none" spc="0">
              <a:ln>
                <a:noFill/>
              </a:ln>
              <a:solidFill>
                <a:srgbClr val="000000"/>
              </a:solidFill>
              <a:effectLst/>
              <a:latin typeface="Calibri"/>
              <a:ea typeface="Calibri"/>
              <a:cs typeface="Calibri"/>
            </a:rPr>
            <a:t>1233</a:t>
          </a:fld>
          <a:endParaRPr lang="en-US" sz="4800" b="0" cap="none" spc="0">
            <a:ln>
              <a:noFill/>
            </a:ln>
            <a:solidFill>
              <a:schemeClr val="tx1"/>
            </a:solidFill>
            <a:effectLst/>
          </a:endParaRPr>
        </a:p>
      </xdr:txBody>
    </xdr:sp>
    <xdr:clientData/>
  </xdr:twoCellAnchor>
  <xdr:twoCellAnchor>
    <xdr:from>
      <xdr:col>16</xdr:col>
      <xdr:colOff>301017</xdr:colOff>
      <xdr:row>8</xdr:row>
      <xdr:rowOff>174171</xdr:rowOff>
    </xdr:from>
    <xdr:to>
      <xdr:col>19</xdr:col>
      <xdr:colOff>584046</xdr:colOff>
      <xdr:row>10</xdr:row>
      <xdr:rowOff>76200</xdr:rowOff>
    </xdr:to>
    <xdr:sp macro="" textlink="KPI!E11">
      <xdr:nvSpPr>
        <xdr:cNvPr id="112" name="TextBox 111">
          <a:extLst>
            <a:ext uri="{FF2B5EF4-FFF2-40B4-BE49-F238E27FC236}">
              <a16:creationId xmlns:a16="http://schemas.microsoft.com/office/drawing/2014/main" id="{CF38BD42-558C-43B4-AB84-52E3BF095491}"/>
            </a:ext>
          </a:extLst>
        </xdr:cNvPr>
        <xdr:cNvSpPr txBox="1"/>
      </xdr:nvSpPr>
      <xdr:spPr>
        <a:xfrm>
          <a:off x="10751303" y="1741714"/>
          <a:ext cx="22424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8C307B-5CF2-4AE8-918E-54010E3CCCEB}" type="TxLink">
            <a:rPr lang="en-US" sz="2000" b="0" i="0" u="none" strike="noStrike" cap="none" spc="0">
              <a:ln>
                <a:noFill/>
              </a:ln>
              <a:solidFill>
                <a:srgbClr val="000000"/>
              </a:solidFill>
              <a:effectLst/>
              <a:latin typeface="Calibri"/>
              <a:ea typeface="Calibri"/>
              <a:cs typeface="Calibri"/>
            </a:rPr>
            <a:t>16.12%</a:t>
          </a:fld>
          <a:endParaRPr lang="en-US" sz="7200" b="0" cap="none" spc="0">
            <a:ln>
              <a:noFill/>
            </a:ln>
            <a:solidFill>
              <a:schemeClr val="tx1"/>
            </a:solidFill>
            <a:effectLst/>
          </a:endParaRPr>
        </a:p>
      </xdr:txBody>
    </xdr:sp>
    <xdr:clientData/>
  </xdr:twoCellAnchor>
  <xdr:twoCellAnchor>
    <xdr:from>
      <xdr:col>21</xdr:col>
      <xdr:colOff>170388</xdr:colOff>
      <xdr:row>9</xdr:row>
      <xdr:rowOff>0</xdr:rowOff>
    </xdr:from>
    <xdr:to>
      <xdr:col>24</xdr:col>
      <xdr:colOff>453416</xdr:colOff>
      <xdr:row>10</xdr:row>
      <xdr:rowOff>97972</xdr:rowOff>
    </xdr:to>
    <xdr:sp macro="" textlink="KPI!C11">
      <xdr:nvSpPr>
        <xdr:cNvPr id="113" name="TextBox 112">
          <a:extLst>
            <a:ext uri="{FF2B5EF4-FFF2-40B4-BE49-F238E27FC236}">
              <a16:creationId xmlns:a16="http://schemas.microsoft.com/office/drawing/2014/main" id="{13E94D0F-9FE9-42CA-839E-F806064B31CE}"/>
            </a:ext>
          </a:extLst>
        </xdr:cNvPr>
        <xdr:cNvSpPr txBox="1"/>
      </xdr:nvSpPr>
      <xdr:spPr>
        <a:xfrm>
          <a:off x="13886388" y="1763486"/>
          <a:ext cx="22424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A99902-024A-4EA1-A1B3-8DED0D4791D0}" type="TxLink">
            <a:rPr lang="en-US" sz="2000" b="0" i="0" u="none" strike="noStrike" cap="none" spc="0">
              <a:ln>
                <a:noFill/>
              </a:ln>
              <a:solidFill>
                <a:srgbClr val="000000"/>
              </a:solidFill>
              <a:effectLst/>
              <a:latin typeface="Calibri"/>
              <a:ea typeface="Calibri"/>
              <a:cs typeface="Calibri"/>
            </a:rPr>
            <a:t>37</a:t>
          </a:fld>
          <a:endParaRPr lang="en-US" sz="11500" b="0" cap="none" spc="0">
            <a:ln>
              <a:noFill/>
            </a:ln>
            <a:solidFill>
              <a:schemeClr val="tx1"/>
            </a:solidFill>
            <a:effectLst/>
          </a:endParaRPr>
        </a:p>
      </xdr:txBody>
    </xdr:sp>
    <xdr:clientData/>
  </xdr:twoCellAnchor>
  <xdr:oneCellAnchor>
    <xdr:from>
      <xdr:col>16</xdr:col>
      <xdr:colOff>43543</xdr:colOff>
      <xdr:row>1</xdr:row>
      <xdr:rowOff>43543</xdr:rowOff>
    </xdr:from>
    <xdr:ext cx="723900" cy="628650"/>
    <xdr:pic>
      <xdr:nvPicPr>
        <xdr:cNvPr id="114" name="image3.png">
          <a:extLst>
            <a:ext uri="{FF2B5EF4-FFF2-40B4-BE49-F238E27FC236}">
              <a16:creationId xmlns:a16="http://schemas.microsoft.com/office/drawing/2014/main" id="{7F409C14-1D26-4195-8A0A-8C728B6CE4D4}"/>
            </a:ext>
          </a:extLst>
        </xdr:cNvPr>
        <xdr:cNvPicPr preferRelativeResize="0"/>
      </xdr:nvPicPr>
      <xdr:blipFill>
        <a:blip xmlns:r="http://schemas.openxmlformats.org/officeDocument/2006/relationships" r:embed="rId7" cstate="print"/>
        <a:stretch>
          <a:fillRect/>
        </a:stretch>
      </xdr:blipFill>
      <xdr:spPr>
        <a:xfrm>
          <a:off x="10493829" y="239486"/>
          <a:ext cx="723900" cy="628650"/>
        </a:xfrm>
        <a:prstGeom prst="rect">
          <a:avLst/>
        </a:prstGeom>
        <a:noFill/>
      </xdr:spPr>
    </xdr:pic>
    <xdr:clientData fLocksWithSheet="0"/>
  </xdr:oneCellAnchor>
  <xdr:twoCellAnchor>
    <xdr:from>
      <xdr:col>17</xdr:col>
      <xdr:colOff>65313</xdr:colOff>
      <xdr:row>1</xdr:row>
      <xdr:rowOff>54431</xdr:rowOff>
    </xdr:from>
    <xdr:to>
      <xdr:col>23</xdr:col>
      <xdr:colOff>206828</xdr:colOff>
      <xdr:row>4</xdr:row>
      <xdr:rowOff>32658</xdr:rowOff>
    </xdr:to>
    <xdr:sp macro="" textlink="">
      <xdr:nvSpPr>
        <xdr:cNvPr id="115" name="TextBox 114">
          <a:extLst>
            <a:ext uri="{FF2B5EF4-FFF2-40B4-BE49-F238E27FC236}">
              <a16:creationId xmlns:a16="http://schemas.microsoft.com/office/drawing/2014/main" id="{D780F273-967C-D595-0A28-FD929EE56878}"/>
            </a:ext>
          </a:extLst>
        </xdr:cNvPr>
        <xdr:cNvSpPr txBox="1"/>
      </xdr:nvSpPr>
      <xdr:spPr>
        <a:xfrm>
          <a:off x="11168742" y="250374"/>
          <a:ext cx="4060372" cy="566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2800" b="1" cap="none" spc="0">
              <a:ln/>
              <a:solidFill>
                <a:schemeClr val="accent3"/>
              </a:solidFill>
              <a:effectLst/>
            </a:rPr>
            <a:t>Job Satisfaction</a:t>
          </a:r>
          <a:r>
            <a:rPr lang="en-US" sz="2800" b="1" cap="none" spc="0" baseline="0">
              <a:ln/>
              <a:solidFill>
                <a:schemeClr val="accent3"/>
              </a:solidFill>
              <a:effectLst/>
            </a:rPr>
            <a:t> Rating</a:t>
          </a:r>
          <a:endParaRPr lang="en-US" sz="2800" b="1" cap="none" spc="0">
            <a:ln/>
            <a:solidFill>
              <a:schemeClr val="accent3"/>
            </a:solidFill>
            <a:effectLst/>
          </a:endParaRPr>
        </a:p>
      </xdr:txBody>
    </xdr:sp>
    <xdr:clientData/>
  </xdr:twoCellAnchor>
  <xdr:twoCellAnchor>
    <xdr:from>
      <xdr:col>22</xdr:col>
      <xdr:colOff>315686</xdr:colOff>
      <xdr:row>0</xdr:row>
      <xdr:rowOff>0</xdr:rowOff>
    </xdr:from>
    <xdr:to>
      <xdr:col>25</xdr:col>
      <xdr:colOff>152401</xdr:colOff>
      <xdr:row>6</xdr:row>
      <xdr:rowOff>1</xdr:rowOff>
    </xdr:to>
    <xdr:graphicFrame macro="">
      <xdr:nvGraphicFramePr>
        <xdr:cNvPr id="116" name="Chart 115">
          <a:extLst>
            <a:ext uri="{FF2B5EF4-FFF2-40B4-BE49-F238E27FC236}">
              <a16:creationId xmlns:a16="http://schemas.microsoft.com/office/drawing/2014/main" id="{E194A5D6-C53F-4030-99F2-216C1C237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326571</xdr:colOff>
      <xdr:row>1</xdr:row>
      <xdr:rowOff>185054</xdr:rowOff>
    </xdr:from>
    <xdr:to>
      <xdr:col>24</xdr:col>
      <xdr:colOff>293914</xdr:colOff>
      <xdr:row>3</xdr:row>
      <xdr:rowOff>174172</xdr:rowOff>
    </xdr:to>
    <xdr:sp macro="" textlink="">
      <xdr:nvSpPr>
        <xdr:cNvPr id="117" name="TextBox 116">
          <a:extLst>
            <a:ext uri="{FF2B5EF4-FFF2-40B4-BE49-F238E27FC236}">
              <a16:creationId xmlns:a16="http://schemas.microsoft.com/office/drawing/2014/main" id="{9598090B-0D23-1270-FE15-2A0FD0934705}"/>
            </a:ext>
          </a:extLst>
        </xdr:cNvPr>
        <xdr:cNvSpPr txBox="1"/>
      </xdr:nvSpPr>
      <xdr:spPr>
        <a:xfrm>
          <a:off x="15303335" y="379018"/>
          <a:ext cx="618506" cy="37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2.6</a:t>
          </a:r>
          <a:endPar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2</xdr:col>
      <xdr:colOff>387113</xdr:colOff>
      <xdr:row>16</xdr:row>
      <xdr:rowOff>96981</xdr:rowOff>
    </xdr:from>
    <xdr:to>
      <xdr:col>8</xdr:col>
      <xdr:colOff>304799</xdr:colOff>
      <xdr:row>27</xdr:row>
      <xdr:rowOff>152400</xdr:rowOff>
    </xdr:to>
    <xdr:graphicFrame macro="">
      <xdr:nvGraphicFramePr>
        <xdr:cNvPr id="118" name="Chart 117">
          <a:extLst>
            <a:ext uri="{FF2B5EF4-FFF2-40B4-BE49-F238E27FC236}">
              <a16:creationId xmlns:a16="http://schemas.microsoft.com/office/drawing/2014/main" id="{899C6637-C212-4B47-A2C8-FD2A0AD4F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195942</xdr:colOff>
      <xdr:row>13</xdr:row>
      <xdr:rowOff>21772</xdr:rowOff>
    </xdr:from>
    <xdr:to>
      <xdr:col>8</xdr:col>
      <xdr:colOff>0</xdr:colOff>
      <xdr:row>16</xdr:row>
      <xdr:rowOff>21771</xdr:rowOff>
    </xdr:to>
    <xdr:sp macro="" textlink="">
      <xdr:nvSpPr>
        <xdr:cNvPr id="120" name="TextBox 119">
          <a:extLst>
            <a:ext uri="{FF2B5EF4-FFF2-40B4-BE49-F238E27FC236}">
              <a16:creationId xmlns:a16="http://schemas.microsoft.com/office/drawing/2014/main" id="{ECC41456-D6BF-4C04-806A-7ACBAEF9523F}"/>
            </a:ext>
          </a:extLst>
        </xdr:cNvPr>
        <xdr:cNvSpPr txBox="1"/>
      </xdr:nvSpPr>
      <xdr:spPr>
        <a:xfrm>
          <a:off x="2155371" y="2569029"/>
          <a:ext cx="3069772"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cap="none" spc="0">
              <a:ln w="6600">
                <a:solidFill>
                  <a:schemeClr val="accent2"/>
                </a:solidFill>
                <a:prstDash val="solid"/>
              </a:ln>
              <a:solidFill>
                <a:srgbClr val="FFFFFF"/>
              </a:solidFill>
              <a:effectLst>
                <a:outerShdw dist="38100" dir="2700000" algn="tl" rotWithShape="0">
                  <a:schemeClr val="accent2"/>
                </a:outerShdw>
              </a:effectLst>
            </a:rPr>
            <a:t>Gender Ratio</a:t>
          </a:r>
        </a:p>
      </xdr:txBody>
    </xdr:sp>
    <xdr:clientData/>
  </xdr:twoCellAnchor>
  <xdr:twoCellAnchor editAs="oneCell">
    <xdr:from>
      <xdr:col>2</xdr:col>
      <xdr:colOff>402771</xdr:colOff>
      <xdr:row>16</xdr:row>
      <xdr:rowOff>119742</xdr:rowOff>
    </xdr:from>
    <xdr:to>
      <xdr:col>4</xdr:col>
      <xdr:colOff>10886</xdr:colOff>
      <xdr:row>21</xdr:row>
      <xdr:rowOff>54428</xdr:rowOff>
    </xdr:to>
    <xdr:pic>
      <xdr:nvPicPr>
        <xdr:cNvPr id="122" name="Graphic 121" descr="Male profile with solid fill">
          <a:extLst>
            <a:ext uri="{FF2B5EF4-FFF2-40B4-BE49-F238E27FC236}">
              <a16:creationId xmlns:a16="http://schemas.microsoft.com/office/drawing/2014/main" id="{D03647E2-80D3-1F2E-7C95-8489C734A1E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09057" y="3254828"/>
          <a:ext cx="914400" cy="914400"/>
        </a:xfrm>
        <a:prstGeom prst="rect">
          <a:avLst/>
        </a:prstGeom>
      </xdr:spPr>
    </xdr:pic>
    <xdr:clientData/>
  </xdr:twoCellAnchor>
  <xdr:twoCellAnchor editAs="oneCell">
    <xdr:from>
      <xdr:col>7</xdr:col>
      <xdr:colOff>217715</xdr:colOff>
      <xdr:row>16</xdr:row>
      <xdr:rowOff>130628</xdr:rowOff>
    </xdr:from>
    <xdr:to>
      <xdr:col>8</xdr:col>
      <xdr:colOff>478972</xdr:colOff>
      <xdr:row>21</xdr:row>
      <xdr:rowOff>65314</xdr:rowOff>
    </xdr:to>
    <xdr:pic>
      <xdr:nvPicPr>
        <xdr:cNvPr id="124" name="Graphic 123" descr="Female Profile with solid fill">
          <a:extLst>
            <a:ext uri="{FF2B5EF4-FFF2-40B4-BE49-F238E27FC236}">
              <a16:creationId xmlns:a16="http://schemas.microsoft.com/office/drawing/2014/main" id="{8196DE57-021C-353D-9ACB-8F39798E3FE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789715" y="3265714"/>
          <a:ext cx="914400" cy="914400"/>
        </a:xfrm>
        <a:prstGeom prst="rect">
          <a:avLst/>
        </a:prstGeom>
      </xdr:spPr>
    </xdr:pic>
    <xdr:clientData/>
  </xdr:twoCellAnchor>
  <xdr:twoCellAnchor>
    <xdr:from>
      <xdr:col>7</xdr:col>
      <xdr:colOff>257474</xdr:colOff>
      <xdr:row>21</xdr:row>
      <xdr:rowOff>65314</xdr:rowOff>
    </xdr:from>
    <xdr:to>
      <xdr:col>8</xdr:col>
      <xdr:colOff>425532</xdr:colOff>
      <xdr:row>23</xdr:row>
      <xdr:rowOff>48161</xdr:rowOff>
    </xdr:to>
    <xdr:sp macro="" textlink="">
      <xdr:nvSpPr>
        <xdr:cNvPr id="126" name="TextBox 110">
          <a:extLst>
            <a:ext uri="{FF2B5EF4-FFF2-40B4-BE49-F238E27FC236}">
              <a16:creationId xmlns:a16="http://schemas.microsoft.com/office/drawing/2014/main" id="{610A145D-7651-3578-D14E-D6855C1F2129}"/>
            </a:ext>
          </a:extLst>
        </xdr:cNvPr>
        <xdr:cNvSpPr txBox="1"/>
      </xdr:nvSpPr>
      <xdr:spPr>
        <a:xfrm>
          <a:off x="4829474" y="4180114"/>
          <a:ext cx="821201" cy="374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endParaRPr lang="en-US" sz="1800" b="0" cap="none" spc="0">
            <a:ln>
              <a:noFill/>
            </a:ln>
            <a:effectLst/>
          </a:endParaRPr>
        </a:p>
      </xdr:txBody>
    </xdr:sp>
    <xdr:clientData/>
  </xdr:twoCellAnchor>
  <xdr:twoCellAnchor>
    <xdr:from>
      <xdr:col>9</xdr:col>
      <xdr:colOff>587829</xdr:colOff>
      <xdr:row>13</xdr:row>
      <xdr:rowOff>0</xdr:rowOff>
    </xdr:from>
    <xdr:to>
      <xdr:col>16</xdr:col>
      <xdr:colOff>457200</xdr:colOff>
      <xdr:row>15</xdr:row>
      <xdr:rowOff>65314</xdr:rowOff>
    </xdr:to>
    <xdr:sp macro="" textlink="">
      <xdr:nvSpPr>
        <xdr:cNvPr id="172" name="TextBox 171">
          <a:extLst>
            <a:ext uri="{FF2B5EF4-FFF2-40B4-BE49-F238E27FC236}">
              <a16:creationId xmlns:a16="http://schemas.microsoft.com/office/drawing/2014/main" id="{18340C22-1BF3-715F-971D-112220E783A2}"/>
            </a:ext>
          </a:extLst>
        </xdr:cNvPr>
        <xdr:cNvSpPr txBox="1"/>
      </xdr:nvSpPr>
      <xdr:spPr>
        <a:xfrm>
          <a:off x="6466115" y="2547257"/>
          <a:ext cx="444137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cap="none" spc="0">
              <a:ln w="6600">
                <a:solidFill>
                  <a:schemeClr val="accent2"/>
                </a:solidFill>
                <a:prstDash val="solid"/>
              </a:ln>
              <a:solidFill>
                <a:srgbClr val="FFFFFF"/>
              </a:solidFill>
              <a:effectLst>
                <a:outerShdw dist="38100" dir="2700000" algn="tl" rotWithShape="0">
                  <a:schemeClr val="accent2"/>
                </a:outerShdw>
              </a:effectLst>
            </a:rPr>
            <a:t>Education Wise Attrition</a:t>
          </a:r>
        </a:p>
      </xdr:txBody>
    </xdr:sp>
    <xdr:clientData/>
  </xdr:twoCellAnchor>
  <xdr:twoCellAnchor>
    <xdr:from>
      <xdr:col>9</xdr:col>
      <xdr:colOff>290945</xdr:colOff>
      <xdr:row>15</xdr:row>
      <xdr:rowOff>180109</xdr:rowOff>
    </xdr:from>
    <xdr:to>
      <xdr:col>17</xdr:col>
      <xdr:colOff>41563</xdr:colOff>
      <xdr:row>28</xdr:row>
      <xdr:rowOff>152400</xdr:rowOff>
    </xdr:to>
    <xdr:graphicFrame macro="">
      <xdr:nvGraphicFramePr>
        <xdr:cNvPr id="173" name="Chart 172">
          <a:extLst>
            <a:ext uri="{FF2B5EF4-FFF2-40B4-BE49-F238E27FC236}">
              <a16:creationId xmlns:a16="http://schemas.microsoft.com/office/drawing/2014/main" id="{E25234C5-22A1-42E6-8570-81570BFCC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498764</xdr:colOff>
      <xdr:row>15</xdr:row>
      <xdr:rowOff>138545</xdr:rowOff>
    </xdr:from>
    <xdr:to>
      <xdr:col>24</xdr:col>
      <xdr:colOff>498765</xdr:colOff>
      <xdr:row>28</xdr:row>
      <xdr:rowOff>96982</xdr:rowOff>
    </xdr:to>
    <mc:AlternateContent xmlns:mc="http://schemas.openxmlformats.org/markup-compatibility/2006">
      <mc:Choice xmlns:cx1="http://schemas.microsoft.com/office/drawing/2015/9/8/chartex" Requires="cx1">
        <xdr:graphicFrame macro="">
          <xdr:nvGraphicFramePr>
            <xdr:cNvPr id="174" name="Chart 173">
              <a:extLst>
                <a:ext uri="{FF2B5EF4-FFF2-40B4-BE49-F238E27FC236}">
                  <a16:creationId xmlns:a16="http://schemas.microsoft.com/office/drawing/2014/main" id="{25F990D7-3956-4AB9-A5A7-267D18B801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568546" y="3048000"/>
              <a:ext cx="4558146" cy="24799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221673</xdr:colOff>
      <xdr:row>12</xdr:row>
      <xdr:rowOff>166253</xdr:rowOff>
    </xdr:from>
    <xdr:to>
      <xdr:col>24</xdr:col>
      <xdr:colOff>180109</xdr:colOff>
      <xdr:row>15</xdr:row>
      <xdr:rowOff>69271</xdr:rowOff>
    </xdr:to>
    <xdr:sp macro="" textlink="">
      <xdr:nvSpPr>
        <xdr:cNvPr id="177" name="TextBox 176">
          <a:extLst>
            <a:ext uri="{FF2B5EF4-FFF2-40B4-BE49-F238E27FC236}">
              <a16:creationId xmlns:a16="http://schemas.microsoft.com/office/drawing/2014/main" id="{5712FF30-C77A-2D9D-9FE4-3B516713AB19}"/>
            </a:ext>
          </a:extLst>
        </xdr:cNvPr>
        <xdr:cNvSpPr txBox="1"/>
      </xdr:nvSpPr>
      <xdr:spPr>
        <a:xfrm>
          <a:off x="11942618" y="2493817"/>
          <a:ext cx="3865418"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cap="none" spc="0">
              <a:ln w="6600">
                <a:solidFill>
                  <a:schemeClr val="accent2"/>
                </a:solidFill>
                <a:prstDash val="solid"/>
              </a:ln>
              <a:solidFill>
                <a:srgbClr val="FFFFFF"/>
              </a:solidFill>
              <a:effectLst>
                <a:outerShdw dist="38100" dir="2700000" algn="tl" rotWithShape="0">
                  <a:schemeClr val="accent2"/>
                </a:outerShdw>
              </a:effectLst>
            </a:rPr>
            <a:t>Attrition By</a:t>
          </a:r>
          <a:r>
            <a:rPr lang="en-US" sz="2800" b="1" cap="none" spc="0" baseline="0">
              <a:ln w="6600">
                <a:solidFill>
                  <a:schemeClr val="accent2"/>
                </a:solidFill>
                <a:prstDash val="solid"/>
              </a:ln>
              <a:solidFill>
                <a:srgbClr val="FFFFFF"/>
              </a:solidFill>
              <a:effectLst>
                <a:outerShdw dist="38100" dir="2700000" algn="tl" rotWithShape="0">
                  <a:schemeClr val="accent2"/>
                </a:outerShdw>
              </a:effectLst>
            </a:rPr>
            <a:t> Job Role</a:t>
          </a:r>
          <a:endParaRPr lang="en-US" sz="28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2</xdr:col>
      <xdr:colOff>290946</xdr:colOff>
      <xdr:row>32</xdr:row>
      <xdr:rowOff>124689</xdr:rowOff>
    </xdr:from>
    <xdr:to>
      <xdr:col>8</xdr:col>
      <xdr:colOff>512618</xdr:colOff>
      <xdr:row>45</xdr:row>
      <xdr:rowOff>124690</xdr:rowOff>
    </xdr:to>
    <xdr:graphicFrame macro="">
      <xdr:nvGraphicFramePr>
        <xdr:cNvPr id="178" name="Chart 177">
          <a:extLst>
            <a:ext uri="{FF2B5EF4-FFF2-40B4-BE49-F238E27FC236}">
              <a16:creationId xmlns:a16="http://schemas.microsoft.com/office/drawing/2014/main" id="{C4C6912B-5431-482A-9894-BE5D77C6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124692</xdr:colOff>
      <xdr:row>30</xdr:row>
      <xdr:rowOff>27710</xdr:rowOff>
    </xdr:from>
    <xdr:to>
      <xdr:col>9</xdr:col>
      <xdr:colOff>152400</xdr:colOff>
      <xdr:row>32</xdr:row>
      <xdr:rowOff>110837</xdr:rowOff>
    </xdr:to>
    <xdr:sp macro="" textlink="">
      <xdr:nvSpPr>
        <xdr:cNvPr id="179" name="TextBox 178">
          <a:extLst>
            <a:ext uri="{FF2B5EF4-FFF2-40B4-BE49-F238E27FC236}">
              <a16:creationId xmlns:a16="http://schemas.microsoft.com/office/drawing/2014/main" id="{D2AB1987-D13B-8600-0425-0302D4862096}"/>
            </a:ext>
          </a:extLst>
        </xdr:cNvPr>
        <xdr:cNvSpPr txBox="1"/>
      </xdr:nvSpPr>
      <xdr:spPr>
        <a:xfrm>
          <a:off x="1427019" y="5846619"/>
          <a:ext cx="4585854" cy="4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cap="none" spc="0">
              <a:ln w="6600">
                <a:solidFill>
                  <a:schemeClr val="accent2"/>
                </a:solidFill>
                <a:prstDash val="solid"/>
              </a:ln>
              <a:solidFill>
                <a:srgbClr val="FFFFFF"/>
              </a:solidFill>
              <a:effectLst>
                <a:outerShdw dist="38100" dir="2700000" algn="tl" rotWithShape="0">
                  <a:schemeClr val="accent2"/>
                </a:outerShdw>
              </a:effectLst>
            </a:rPr>
            <a:t>Department Wise</a:t>
          </a:r>
          <a:r>
            <a:rPr lang="en-US" sz="2800" b="1" cap="none" spc="0" baseline="0">
              <a:ln w="6600">
                <a:solidFill>
                  <a:schemeClr val="accent2"/>
                </a:solidFill>
                <a:prstDash val="solid"/>
              </a:ln>
              <a:solidFill>
                <a:srgbClr val="FFFFFF"/>
              </a:solidFill>
              <a:effectLst>
                <a:outerShdw dist="38100" dir="2700000" algn="tl" rotWithShape="0">
                  <a:schemeClr val="accent2"/>
                </a:outerShdw>
              </a:effectLst>
            </a:rPr>
            <a:t> Attrition</a:t>
          </a:r>
          <a:endParaRPr lang="en-US" sz="28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9</xdr:col>
      <xdr:colOff>166254</xdr:colOff>
      <xdr:row>32</xdr:row>
      <xdr:rowOff>55419</xdr:rowOff>
    </xdr:from>
    <xdr:to>
      <xdr:col>15</xdr:col>
      <xdr:colOff>96981</xdr:colOff>
      <xdr:row>45</xdr:row>
      <xdr:rowOff>124690</xdr:rowOff>
    </xdr:to>
    <xdr:graphicFrame macro="">
      <xdr:nvGraphicFramePr>
        <xdr:cNvPr id="181" name="Chart 180">
          <a:extLst>
            <a:ext uri="{FF2B5EF4-FFF2-40B4-BE49-F238E27FC236}">
              <a16:creationId xmlns:a16="http://schemas.microsoft.com/office/drawing/2014/main" id="{AA63ADE6-970D-4488-BA59-84DBFA1E6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193963</xdr:colOff>
      <xdr:row>30</xdr:row>
      <xdr:rowOff>55418</xdr:rowOff>
    </xdr:from>
    <xdr:to>
      <xdr:col>14</xdr:col>
      <xdr:colOff>595745</xdr:colOff>
      <xdr:row>32</xdr:row>
      <xdr:rowOff>27709</xdr:rowOff>
    </xdr:to>
    <xdr:sp macro="" textlink="">
      <xdr:nvSpPr>
        <xdr:cNvPr id="183" name="TextBox 182">
          <a:extLst>
            <a:ext uri="{FF2B5EF4-FFF2-40B4-BE49-F238E27FC236}">
              <a16:creationId xmlns:a16="http://schemas.microsoft.com/office/drawing/2014/main" id="{D52CD691-9AED-9472-36B2-50978202927C}"/>
            </a:ext>
          </a:extLst>
        </xdr:cNvPr>
        <xdr:cNvSpPr txBox="1"/>
      </xdr:nvSpPr>
      <xdr:spPr>
        <a:xfrm>
          <a:off x="6054436" y="5874327"/>
          <a:ext cx="3657600"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cap="none" spc="0">
              <a:ln w="6600">
                <a:solidFill>
                  <a:schemeClr val="accent2"/>
                </a:solidFill>
                <a:prstDash val="solid"/>
              </a:ln>
              <a:solidFill>
                <a:srgbClr val="FFFFFF"/>
              </a:solidFill>
              <a:effectLst>
                <a:outerShdw dist="38100" dir="2700000" algn="tl" rotWithShape="0">
                  <a:schemeClr val="accent2"/>
                </a:outerShdw>
              </a:effectLst>
            </a:rPr>
            <a:t>Age Wise Attrition</a:t>
          </a:r>
        </a:p>
      </xdr:txBody>
    </xdr:sp>
    <xdr:clientData/>
  </xdr:twoCellAnchor>
  <xdr:twoCellAnchor>
    <xdr:from>
      <xdr:col>15</xdr:col>
      <xdr:colOff>262421</xdr:colOff>
      <xdr:row>32</xdr:row>
      <xdr:rowOff>69273</xdr:rowOff>
    </xdr:from>
    <xdr:to>
      <xdr:col>20</xdr:col>
      <xdr:colOff>27709</xdr:colOff>
      <xdr:row>45</xdr:row>
      <xdr:rowOff>96980</xdr:rowOff>
    </xdr:to>
    <mc:AlternateContent xmlns:mc="http://schemas.openxmlformats.org/markup-compatibility/2006">
      <mc:Choice xmlns:cx2="http://schemas.microsoft.com/office/drawing/2015/10/21/chartex" Requires="cx2">
        <xdr:graphicFrame macro="">
          <xdr:nvGraphicFramePr>
            <xdr:cNvPr id="185" name="Chart 184">
              <a:extLst>
                <a:ext uri="{FF2B5EF4-FFF2-40B4-BE49-F238E27FC236}">
                  <a16:creationId xmlns:a16="http://schemas.microsoft.com/office/drawing/2014/main" id="{227512CF-BEF1-48B8-B9DB-972DD2C1B3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0029876" y="6276109"/>
              <a:ext cx="3021106" cy="25492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554182</xdr:colOff>
      <xdr:row>29</xdr:row>
      <xdr:rowOff>180109</xdr:rowOff>
    </xdr:from>
    <xdr:to>
      <xdr:col>25</xdr:col>
      <xdr:colOff>443346</xdr:colOff>
      <xdr:row>33</xdr:row>
      <xdr:rowOff>152400</xdr:rowOff>
    </xdr:to>
    <xdr:sp macro="" textlink="">
      <xdr:nvSpPr>
        <xdr:cNvPr id="187" name="TextBox 186">
          <a:extLst>
            <a:ext uri="{FF2B5EF4-FFF2-40B4-BE49-F238E27FC236}">
              <a16:creationId xmlns:a16="http://schemas.microsoft.com/office/drawing/2014/main" id="{73CFE280-A9A7-867B-E712-3CC37E80AEE4}"/>
            </a:ext>
          </a:extLst>
        </xdr:cNvPr>
        <xdr:cNvSpPr txBox="1"/>
      </xdr:nvSpPr>
      <xdr:spPr>
        <a:xfrm>
          <a:off x="10321637" y="5805054"/>
          <a:ext cx="6400800" cy="74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6600">
                <a:solidFill>
                  <a:schemeClr val="accent2"/>
                </a:solidFill>
                <a:prstDash val="solid"/>
              </a:ln>
              <a:solidFill>
                <a:srgbClr val="FFFFFF"/>
              </a:solidFill>
              <a:effectLst>
                <a:outerShdw dist="38100" dir="2700000" algn="tl" rotWithShape="0">
                  <a:schemeClr val="accent2"/>
                </a:outerShdw>
              </a:effectLst>
            </a:rPr>
            <a:t>Attrition by Martial Status</a:t>
          </a:r>
        </a:p>
      </xdr:txBody>
    </xdr:sp>
    <xdr:clientData/>
  </xdr:twoCellAnchor>
  <xdr:twoCellAnchor editAs="oneCell">
    <xdr:from>
      <xdr:col>20</xdr:col>
      <xdr:colOff>332510</xdr:colOff>
      <xdr:row>33</xdr:row>
      <xdr:rowOff>0</xdr:rowOff>
    </xdr:from>
    <xdr:to>
      <xdr:col>24</xdr:col>
      <xdr:colOff>595746</xdr:colOff>
      <xdr:row>45</xdr:row>
      <xdr:rowOff>83127</xdr:rowOff>
    </xdr:to>
    <mc:AlternateContent xmlns:mc="http://schemas.openxmlformats.org/markup-compatibility/2006">
      <mc:Choice xmlns:a14="http://schemas.microsoft.com/office/drawing/2010/main" Requires="a14">
        <xdr:graphicFrame macro="">
          <xdr:nvGraphicFramePr>
            <xdr:cNvPr id="191" name="Education Field 2">
              <a:extLst>
                <a:ext uri="{FF2B5EF4-FFF2-40B4-BE49-F238E27FC236}">
                  <a16:creationId xmlns:a16="http://schemas.microsoft.com/office/drawing/2014/main" id="{3A3B8880-6A4A-4630-B094-1D4397C3AD2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3355783" y="6400800"/>
              <a:ext cx="2867890" cy="2410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443345</xdr:colOff>
      <xdr:row>29</xdr:row>
      <xdr:rowOff>124691</xdr:rowOff>
    </xdr:from>
    <xdr:to>
      <xdr:col>25</xdr:col>
      <xdr:colOff>96982</xdr:colOff>
      <xdr:row>33</xdr:row>
      <xdr:rowOff>55417</xdr:rowOff>
    </xdr:to>
    <xdr:sp macro="" textlink="">
      <xdr:nvSpPr>
        <xdr:cNvPr id="192" name="TextBox 191">
          <a:extLst>
            <a:ext uri="{FF2B5EF4-FFF2-40B4-BE49-F238E27FC236}">
              <a16:creationId xmlns:a16="http://schemas.microsoft.com/office/drawing/2014/main" id="{DDFFB2E1-95D0-C955-6BE9-BBBE11B881C1}"/>
            </a:ext>
          </a:extLst>
        </xdr:cNvPr>
        <xdr:cNvSpPr txBox="1"/>
      </xdr:nvSpPr>
      <xdr:spPr>
        <a:xfrm>
          <a:off x="13466618" y="5749636"/>
          <a:ext cx="2909455" cy="706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cap="none" spc="0">
              <a:ln w="6600">
                <a:solidFill>
                  <a:schemeClr val="accent2"/>
                </a:solidFill>
                <a:prstDash val="solid"/>
              </a:ln>
              <a:solidFill>
                <a:srgbClr val="FFFFFF"/>
              </a:solidFill>
              <a:effectLst>
                <a:outerShdw dist="38100" dir="2700000" algn="tl" rotWithShape="0">
                  <a:schemeClr val="accent2"/>
                </a:outerShdw>
              </a:effectLst>
            </a:rPr>
            <a:t>Education Field</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0.01419</cdr:x>
      <cdr:y>0.41689</cdr:y>
    </cdr:from>
    <cdr:to>
      <cdr:x>0.22823</cdr:x>
      <cdr:y>0.58639</cdr:y>
    </cdr:to>
    <cdr:sp macro="" textlink="">
      <cdr:nvSpPr>
        <cdr:cNvPr id="2" name="TextBox 110">
          <a:extLst xmlns:a="http://schemas.openxmlformats.org/drawingml/2006/main">
            <a:ext uri="{FF2B5EF4-FFF2-40B4-BE49-F238E27FC236}">
              <a16:creationId xmlns:a16="http://schemas.microsoft.com/office/drawing/2014/main" id="{D4ECB7C2-C460-4745-B865-F9BC882F99BC}"/>
            </a:ext>
          </a:extLst>
        </cdr:cNvPr>
        <cdr:cNvSpPr txBox="1"/>
      </cdr:nvSpPr>
      <cdr:spPr>
        <a:xfrm xmlns:a="http://schemas.openxmlformats.org/drawingml/2006/main">
          <a:off x="54428" y="921657"/>
          <a:ext cx="821201" cy="3747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p xmlns:a="http://schemas.openxmlformats.org/drawingml/2006/main">
          <a:pPr algn="ctr"/>
          <a:r>
            <a:rPr lang="en-US" sz="1800" b="0" cap="none" spc="0">
              <a:ln>
                <a:noFill/>
              </a:ln>
              <a:effectLst/>
            </a:rPr>
            <a:t>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9.553901851854" createdVersion="8" refreshedVersion="8" minRefreshableVersion="3" recordCount="1470" xr:uid="{FA16FCC7-F418-4732-B859-1FA6D0860B2A}">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80092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1C2916-2DEB-4B5D-B476-12FE0C73815D}"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3534C1-B081-4F2B-9088-EA7457B92BE9}"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1"/>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5CEB9A-E1E7-4BD1-94C2-B79067D07CA7}"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408EF7-A0D6-4CFE-B9EB-F3EEAE4C2C49}"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Count of Employee Number" fld="7" subtotal="count" baseField="2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9C0767-F2FE-410A-87E1-B265FB32BAF3}" name="PivotTable7"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9"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F1E04-28FA-4EA8-A831-7E63709687A0}"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9F9D0A-8EB0-4802-AE18-D63A0F96CB35}"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6B4BB7-48D7-4B8B-B44A-D5A1C095FCE7}" name="PivotTable1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0B55A9-35BA-4944-B484-18469CC4AA21}" sourceName="Gender">
  <pivotTables>
    <pivotTable tabId="7" name="PivotTable1"/>
  </pivotTables>
  <data>
    <tabular pivotCacheId="15800929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9AB2D16-7B7B-4D03-A987-55473A044A70}" sourceName="Gender">
  <pivotTables>
    <pivotTable tabId="9" name="PivotTable3"/>
  </pivotTables>
  <data>
    <tabular pivotCacheId="15800929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4F9C68F-566E-448F-98FA-9F9539C4327B}" sourceName="Department">
  <pivotTables>
    <pivotTable tabId="13" name="PivotTable11"/>
  </pivotTables>
  <data>
    <tabular pivotCacheId="158009297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F3EA0BB-14B2-4CDE-A4C5-C967843F0103}" sourceName="Education Field">
  <pivotTables>
    <pivotTable tabId="13" name="PivotTable11"/>
    <pivotTable tabId="11" name="PivotTable7"/>
    <pivotTable tabId="12" name="PivotTable10"/>
    <pivotTable tabId="10" name="PivotTable4"/>
    <pivotTable tabId="9" name="PivotTable3"/>
    <pivotTable tabId="7" name="PivotTable1"/>
    <pivotTable tabId="8" name="PivotTable2"/>
    <pivotTable tabId="14" name="PivotTable12"/>
  </pivotTables>
  <data>
    <tabular pivotCacheId="158009297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BDA07DA-3455-4706-92C9-E4DE074ED10A}"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1F52685-20ED-483C-AFDF-FF1DFD85F16D}" cache="Slicer_Gender1" caption="Gender" rowHeight="260350"/>
  <slicer name="Education Field" xr10:uid="{F4DB7097-42BD-43C0-8A61-48990A17ECCE}"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30E5E1-406A-4718-8687-AF92E348DFA3}" cache="Slicer_Department1" caption="Department" rowHeight="260350"/>
  <slicer name="Education Field 1" xr10:uid="{EF13894C-A469-4FC1-A8EE-7F35B3F4BB18}"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93312E91-2C6A-431E-B87E-90960EFA4E9C}" cache="Slicer_Education_Field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7933-64B2-45F0-B7EB-B9C0712058E0}">
  <dimension ref="A3:E11"/>
  <sheetViews>
    <sheetView workbookViewId="0">
      <selection activeCell="D14" sqref="D14"/>
    </sheetView>
  </sheetViews>
  <sheetFormatPr defaultRowHeight="15.6" x14ac:dyDescent="0.3"/>
  <cols>
    <col min="1" max="1" width="24.5" bestFit="1" customWidth="1"/>
    <col min="2" max="2" width="22.796875" bestFit="1" customWidth="1"/>
    <col min="3" max="3" width="13.5" bestFit="1" customWidth="1"/>
    <col min="4" max="4" width="15.3984375" bestFit="1" customWidth="1"/>
    <col min="5" max="5" width="12.3984375" bestFit="1" customWidth="1"/>
  </cols>
  <sheetData>
    <row r="3" spans="1:5" x14ac:dyDescent="0.3">
      <c r="A3" s="2" t="s">
        <v>1554</v>
      </c>
      <c r="B3" s="8" t="s">
        <v>1555</v>
      </c>
      <c r="C3" s="5" t="s">
        <v>1556</v>
      </c>
    </row>
    <row r="4" spans="1:5" x14ac:dyDescent="0.3">
      <c r="A4" s="6">
        <v>1470</v>
      </c>
      <c r="B4" s="9">
        <v>237</v>
      </c>
      <c r="C4" s="7">
        <v>36.923809523809524</v>
      </c>
    </row>
    <row r="10" spans="1:5" x14ac:dyDescent="0.3">
      <c r="A10" s="2" t="s">
        <v>1554</v>
      </c>
      <c r="B10" s="8" t="s">
        <v>1555</v>
      </c>
      <c r="C10" s="5" t="s">
        <v>1556</v>
      </c>
      <c r="D10" s="10" t="s">
        <v>1557</v>
      </c>
      <c r="E10" s="10" t="s">
        <v>1558</v>
      </c>
    </row>
    <row r="11" spans="1:5" x14ac:dyDescent="0.3">
      <c r="A11">
        <f>GETPIVOTDATA("Count of Employee Number",$A$3)</f>
        <v>1470</v>
      </c>
      <c r="B11">
        <f>GETPIVOTDATA("Sum of CF_attrition count",$A$3)</f>
        <v>237</v>
      </c>
      <c r="C11" s="12">
        <f>GETPIVOTDATA("Average of Age",$A$3)</f>
        <v>36.923809523809524</v>
      </c>
      <c r="D11">
        <f>A11-B11</f>
        <v>1233</v>
      </c>
      <c r="E11" s="14">
        <f>B11/A11</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0675-BF00-4697-999A-766B87EC68CF}">
  <dimension ref="A3:C9"/>
  <sheetViews>
    <sheetView workbookViewId="0">
      <selection activeCell="A21" sqref="A21"/>
    </sheetView>
  </sheetViews>
  <sheetFormatPr defaultRowHeight="15.6" x14ac:dyDescent="0.3"/>
  <cols>
    <col min="1" max="1" width="23.59765625" bestFit="1" customWidth="1"/>
  </cols>
  <sheetData>
    <row r="3" spans="1:3" x14ac:dyDescent="0.3">
      <c r="A3" s="3" t="s">
        <v>1559</v>
      </c>
    </row>
    <row r="4" spans="1:3" x14ac:dyDescent="0.3">
      <c r="A4" s="15">
        <v>2.6265306122448981</v>
      </c>
    </row>
    <row r="8" spans="1:3" x14ac:dyDescent="0.3">
      <c r="A8" s="3" t="s">
        <v>1560</v>
      </c>
      <c r="B8" s="15">
        <f>GETPIVOTDATA("Job Satisfaction",$A$3)</f>
        <v>2.6265306122448981</v>
      </c>
      <c r="C8">
        <f>B8/4</f>
        <v>0.65663265306122454</v>
      </c>
    </row>
    <row r="9" spans="1:3" x14ac:dyDescent="0.3">
      <c r="A9" t="s">
        <v>1561</v>
      </c>
      <c r="B9" s="11">
        <f>4-GETPIVOTDATA("Job Satisfaction",$A$3)</f>
        <v>1.3734693877551019</v>
      </c>
      <c r="C9">
        <f>B9/4</f>
        <v>0.34336734693877546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789-FDF0-4120-978F-343FFDEB4054}">
  <dimension ref="A3:C10"/>
  <sheetViews>
    <sheetView workbookViewId="0">
      <selection activeCell="B9" sqref="B9"/>
    </sheetView>
  </sheetViews>
  <sheetFormatPr defaultRowHeight="15.6" x14ac:dyDescent="0.3"/>
  <cols>
    <col min="1" max="1" width="12.19921875" bestFit="1" customWidth="1"/>
    <col min="2" max="2" width="24.5" bestFit="1" customWidth="1"/>
    <col min="3" max="3" width="8.796875" style="13"/>
  </cols>
  <sheetData>
    <row r="3" spans="1:3" x14ac:dyDescent="0.3">
      <c r="A3" s="16" t="s">
        <v>1562</v>
      </c>
      <c r="B3" s="3" t="s">
        <v>1554</v>
      </c>
    </row>
    <row r="4" spans="1:3" x14ac:dyDescent="0.3">
      <c r="A4" s="17" t="s">
        <v>51</v>
      </c>
      <c r="B4" s="18">
        <v>588</v>
      </c>
    </row>
    <row r="5" spans="1:3" x14ac:dyDescent="0.3">
      <c r="A5" s="19" t="s">
        <v>62</v>
      </c>
      <c r="B5" s="20">
        <v>882</v>
      </c>
    </row>
    <row r="6" spans="1:3" x14ac:dyDescent="0.3">
      <c r="A6" s="21" t="s">
        <v>1563</v>
      </c>
      <c r="B6" s="4">
        <v>1470</v>
      </c>
    </row>
    <row r="9" spans="1:3" x14ac:dyDescent="0.3">
      <c r="A9" s="22" t="s">
        <v>51</v>
      </c>
      <c r="B9">
        <f>IFERROR(GETPIVOTDATA("Employee Number",$A$3,"Gender","Female"),0)</f>
        <v>588</v>
      </c>
      <c r="C9" s="13">
        <f>IFERROR(B9/($B$9+$B$10),0)</f>
        <v>0.4</v>
      </c>
    </row>
    <row r="10" spans="1:3" x14ac:dyDescent="0.3">
      <c r="A10" s="22" t="s">
        <v>62</v>
      </c>
      <c r="B10">
        <f>IFERROR(GETPIVOTDATA("Employee Number",$A$3,"Gender","Male"),0)</f>
        <v>882</v>
      </c>
      <c r="C10" s="13">
        <f>IFERROR(B10/($B$10+$B$9),0)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B7A9-1222-46C5-9166-0048A039F20D}">
  <dimension ref="A3:B9"/>
  <sheetViews>
    <sheetView workbookViewId="0">
      <selection activeCell="B5" sqref="B5"/>
    </sheetView>
  </sheetViews>
  <sheetFormatPr defaultRowHeight="15.6" x14ac:dyDescent="0.3"/>
  <cols>
    <col min="1" max="1" width="16" bestFit="1" customWidth="1"/>
    <col min="2" max="2" width="24.5" bestFit="1" customWidth="1"/>
  </cols>
  <sheetData>
    <row r="3" spans="1:2" x14ac:dyDescent="0.3">
      <c r="A3" s="16" t="s">
        <v>1562</v>
      </c>
      <c r="B3" s="3" t="s">
        <v>1554</v>
      </c>
    </row>
    <row r="4" spans="1:2" x14ac:dyDescent="0.3">
      <c r="A4" s="17" t="s">
        <v>134</v>
      </c>
      <c r="B4" s="18">
        <v>48</v>
      </c>
    </row>
    <row r="5" spans="1:2" x14ac:dyDescent="0.3">
      <c r="A5" s="19" t="s">
        <v>65</v>
      </c>
      <c r="B5" s="20">
        <v>170</v>
      </c>
    </row>
    <row r="6" spans="1:2" x14ac:dyDescent="0.3">
      <c r="A6" s="19" t="s">
        <v>55</v>
      </c>
      <c r="B6" s="20">
        <v>282</v>
      </c>
    </row>
    <row r="7" spans="1:2" x14ac:dyDescent="0.3">
      <c r="A7" s="19" t="s">
        <v>71</v>
      </c>
      <c r="B7" s="20">
        <v>398</v>
      </c>
    </row>
    <row r="8" spans="1:2" x14ac:dyDescent="0.3">
      <c r="A8" s="19" t="s">
        <v>77</v>
      </c>
      <c r="B8" s="20">
        <v>572</v>
      </c>
    </row>
    <row r="9" spans="1:2" x14ac:dyDescent="0.3">
      <c r="A9" s="21" t="s">
        <v>1563</v>
      </c>
      <c r="B9" s="4">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6D773-C3AD-430A-B0F6-BE1C6D0D0450}">
  <dimension ref="A3:E13"/>
  <sheetViews>
    <sheetView workbookViewId="0">
      <selection activeCell="J17" sqref="J17"/>
    </sheetView>
  </sheetViews>
  <sheetFormatPr defaultRowHeight="15.6" x14ac:dyDescent="0.3"/>
  <cols>
    <col min="1" max="1" width="23.296875" bestFit="1" customWidth="1"/>
    <col min="2" max="2" width="22.796875" bestFit="1" customWidth="1"/>
    <col min="3" max="3" width="24.296875" bestFit="1" customWidth="1"/>
    <col min="4" max="4" width="23.296875" bestFit="1" customWidth="1"/>
  </cols>
  <sheetData>
    <row r="3" spans="1:5" x14ac:dyDescent="0.3">
      <c r="A3" s="16" t="s">
        <v>1562</v>
      </c>
      <c r="B3" s="3" t="s">
        <v>1555</v>
      </c>
    </row>
    <row r="4" spans="1:5" x14ac:dyDescent="0.3">
      <c r="A4" s="17" t="s">
        <v>83</v>
      </c>
      <c r="B4" s="18">
        <v>9</v>
      </c>
      <c r="D4" s="17" t="s">
        <v>83</v>
      </c>
      <c r="E4">
        <f>GETPIVOTDATA("CF_attrition count",$A$3,"Job Role",A4)</f>
        <v>9</v>
      </c>
    </row>
    <row r="5" spans="1:5" x14ac:dyDescent="0.3">
      <c r="A5" s="19" t="s">
        <v>163</v>
      </c>
      <c r="B5" s="20">
        <v>12</v>
      </c>
      <c r="D5" s="19" t="s">
        <v>163</v>
      </c>
      <c r="E5">
        <f t="shared" ref="E5:E12" si="0">GETPIVOTDATA("CF_attrition count",$A$3,"Job Role",A5)</f>
        <v>12</v>
      </c>
    </row>
    <row r="6" spans="1:5" x14ac:dyDescent="0.3">
      <c r="A6" s="19" t="s">
        <v>68</v>
      </c>
      <c r="B6" s="20">
        <v>62</v>
      </c>
      <c r="D6" s="19" t="s">
        <v>68</v>
      </c>
      <c r="E6">
        <f t="shared" si="0"/>
        <v>62</v>
      </c>
    </row>
    <row r="7" spans="1:5" x14ac:dyDescent="0.3">
      <c r="A7" s="19" t="s">
        <v>95</v>
      </c>
      <c r="B7" s="20">
        <v>5</v>
      </c>
      <c r="D7" s="19" t="s">
        <v>95</v>
      </c>
      <c r="E7">
        <f t="shared" si="0"/>
        <v>5</v>
      </c>
    </row>
    <row r="8" spans="1:5" x14ac:dyDescent="0.3">
      <c r="A8" s="19" t="s">
        <v>81</v>
      </c>
      <c r="B8" s="20">
        <v>10</v>
      </c>
      <c r="D8" s="19" t="s">
        <v>81</v>
      </c>
      <c r="E8">
        <f t="shared" si="0"/>
        <v>10</v>
      </c>
    </row>
    <row r="9" spans="1:5" x14ac:dyDescent="0.3">
      <c r="A9" s="19" t="s">
        <v>101</v>
      </c>
      <c r="B9" s="20">
        <v>2</v>
      </c>
      <c r="D9" s="19" t="s">
        <v>101</v>
      </c>
      <c r="E9">
        <f t="shared" si="0"/>
        <v>2</v>
      </c>
    </row>
    <row r="10" spans="1:5" x14ac:dyDescent="0.3">
      <c r="A10" s="19" t="s">
        <v>63</v>
      </c>
      <c r="B10" s="20">
        <v>47</v>
      </c>
      <c r="D10" s="19" t="s">
        <v>63</v>
      </c>
      <c r="E10">
        <f t="shared" si="0"/>
        <v>47</v>
      </c>
    </row>
    <row r="11" spans="1:5" x14ac:dyDescent="0.3">
      <c r="A11" s="19" t="s">
        <v>52</v>
      </c>
      <c r="B11" s="20">
        <v>57</v>
      </c>
      <c r="D11" s="19" t="s">
        <v>52</v>
      </c>
      <c r="E11">
        <f t="shared" si="0"/>
        <v>57</v>
      </c>
    </row>
    <row r="12" spans="1:5" x14ac:dyDescent="0.3">
      <c r="A12" s="19" t="s">
        <v>99</v>
      </c>
      <c r="B12" s="20">
        <v>33</v>
      </c>
      <c r="D12" s="19" t="s">
        <v>99</v>
      </c>
      <c r="E12">
        <f t="shared" si="0"/>
        <v>33</v>
      </c>
    </row>
    <row r="13" spans="1:5" x14ac:dyDescent="0.3">
      <c r="A13" s="21" t="s">
        <v>1563</v>
      </c>
      <c r="B13"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ECF9-07C9-4B10-B246-BBEFA0569574}">
  <dimension ref="A3:B7"/>
  <sheetViews>
    <sheetView workbookViewId="0">
      <selection activeCell="B5" sqref="B5"/>
    </sheetView>
  </sheetViews>
  <sheetFormatPr defaultRowHeight="15.6" x14ac:dyDescent="0.3"/>
  <cols>
    <col min="1" max="1" width="12.296875" bestFit="1" customWidth="1"/>
    <col min="2" max="2" width="22.796875" bestFit="1" customWidth="1"/>
  </cols>
  <sheetData>
    <row r="3" spans="1:2" x14ac:dyDescent="0.3">
      <c r="A3" s="23" t="s">
        <v>1562</v>
      </c>
      <c r="B3" t="s">
        <v>1555</v>
      </c>
    </row>
    <row r="4" spans="1:2" x14ac:dyDescent="0.3">
      <c r="A4" s="24" t="s">
        <v>161</v>
      </c>
      <c r="B4" s="25">
        <v>5.0632911392405063E-2</v>
      </c>
    </row>
    <row r="5" spans="1:2" x14ac:dyDescent="0.3">
      <c r="A5" s="24" t="s">
        <v>60</v>
      </c>
      <c r="B5" s="25">
        <v>0.56118143459915615</v>
      </c>
    </row>
    <row r="6" spans="1:2" x14ac:dyDescent="0.3">
      <c r="A6" s="24" t="s">
        <v>48</v>
      </c>
      <c r="B6" s="25">
        <v>0.3881856540084388</v>
      </c>
    </row>
    <row r="7" spans="1:2" x14ac:dyDescent="0.3">
      <c r="A7" s="24" t="s">
        <v>1563</v>
      </c>
      <c r="B7" s="2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8418-E3D4-4D76-ADC8-C73FB8A49A8A}">
  <dimension ref="A3:B9"/>
  <sheetViews>
    <sheetView workbookViewId="0">
      <selection activeCell="B5" sqref="B5"/>
    </sheetView>
  </sheetViews>
  <sheetFormatPr defaultRowHeight="15.6" x14ac:dyDescent="0.3"/>
  <cols>
    <col min="1" max="1" width="12.19921875" bestFit="1" customWidth="1"/>
    <col min="2" max="3" width="22.796875" bestFit="1" customWidth="1"/>
  </cols>
  <sheetData>
    <row r="3" spans="1:2" x14ac:dyDescent="0.3">
      <c r="A3" s="16" t="s">
        <v>1562</v>
      </c>
      <c r="B3" s="3" t="s">
        <v>1555</v>
      </c>
    </row>
    <row r="4" spans="1:2" x14ac:dyDescent="0.3">
      <c r="A4" s="17" t="s">
        <v>69</v>
      </c>
      <c r="B4" s="18">
        <v>112</v>
      </c>
    </row>
    <row r="5" spans="1:2" x14ac:dyDescent="0.3">
      <c r="A5" s="19" t="s">
        <v>46</v>
      </c>
      <c r="B5" s="20">
        <v>51</v>
      </c>
    </row>
    <row r="6" spans="1:2" x14ac:dyDescent="0.3">
      <c r="A6" s="19" t="s">
        <v>58</v>
      </c>
      <c r="B6" s="20">
        <v>25</v>
      </c>
    </row>
    <row r="7" spans="1:2" x14ac:dyDescent="0.3">
      <c r="A7" s="19" t="s">
        <v>75</v>
      </c>
      <c r="B7" s="20">
        <v>11</v>
      </c>
    </row>
    <row r="8" spans="1:2" x14ac:dyDescent="0.3">
      <c r="A8" s="19" t="s">
        <v>92</v>
      </c>
      <c r="B8" s="20">
        <v>38</v>
      </c>
    </row>
    <row r="9" spans="1:2" x14ac:dyDescent="0.3">
      <c r="A9" s="21" t="s">
        <v>1563</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4C75-F661-4555-984C-4632369C37B6}">
  <dimension ref="A3:E7"/>
  <sheetViews>
    <sheetView workbookViewId="0">
      <selection activeCell="E17" sqref="E17"/>
    </sheetView>
  </sheetViews>
  <sheetFormatPr defaultRowHeight="15.6" x14ac:dyDescent="0.3"/>
  <cols>
    <col min="1" max="1" width="12.19921875" bestFit="1" customWidth="1"/>
    <col min="2" max="2" width="22.796875" bestFit="1" customWidth="1"/>
  </cols>
  <sheetData>
    <row r="3" spans="1:5" x14ac:dyDescent="0.3">
      <c r="A3" s="16" t="s">
        <v>1562</v>
      </c>
      <c r="B3" s="3" t="s">
        <v>1555</v>
      </c>
    </row>
    <row r="4" spans="1:5" x14ac:dyDescent="0.3">
      <c r="A4" s="17" t="s">
        <v>79</v>
      </c>
      <c r="B4" s="18">
        <v>33</v>
      </c>
      <c r="D4" t="s">
        <v>79</v>
      </c>
      <c r="E4">
        <f>GETPIVOTDATA("CF_attrition count",$A$3,"Marital Status",A4)</f>
        <v>33</v>
      </c>
    </row>
    <row r="5" spans="1:5" x14ac:dyDescent="0.3">
      <c r="A5" s="19" t="s">
        <v>64</v>
      </c>
      <c r="B5" s="20">
        <v>84</v>
      </c>
      <c r="D5" t="s">
        <v>64</v>
      </c>
      <c r="E5">
        <f t="shared" ref="E5:E6" si="0">GETPIVOTDATA("CF_attrition count",$A$3,"Marital Status",A5)</f>
        <v>84</v>
      </c>
    </row>
    <row r="6" spans="1:5" x14ac:dyDescent="0.3">
      <c r="A6" s="19" t="s">
        <v>53</v>
      </c>
      <c r="B6" s="20">
        <v>120</v>
      </c>
      <c r="D6" t="s">
        <v>53</v>
      </c>
      <c r="E6">
        <f t="shared" si="0"/>
        <v>120</v>
      </c>
    </row>
    <row r="7" spans="1:5" x14ac:dyDescent="0.3">
      <c r="A7" s="21" t="s">
        <v>1563</v>
      </c>
      <c r="B7" s="4">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H17" sqref="A1: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3"/>
  <sheetViews>
    <sheetView tabSelected="1" zoomScale="55" zoomScaleNormal="55" workbookViewId="0">
      <selection activeCell="AB37" sqref="AB37"/>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33" customFormat="1" ht="15" customHeight="1"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Satisfaction</vt:lpstr>
      <vt:lpstr>Gender</vt:lpstr>
      <vt:lpstr>Education</vt:lpstr>
      <vt:lpstr>Attrition by Job</vt:lpstr>
      <vt:lpstr>Dept Wise Attrition</vt:lpstr>
      <vt:lpstr>Age</vt:lpstr>
      <vt:lpstr>Sheet8</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Ye Yint Thway</cp:lastModifiedBy>
  <dcterms:created xsi:type="dcterms:W3CDTF">2022-12-29T16:02:46Z</dcterms:created>
  <dcterms:modified xsi:type="dcterms:W3CDTF">2026-03-18T12:10:54Z</dcterms:modified>
</cp:coreProperties>
</file>